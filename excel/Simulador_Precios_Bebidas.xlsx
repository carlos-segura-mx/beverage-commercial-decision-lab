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dfd8a0d74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1499de7ff9642d9"/>
    <x:sheet xmlns:r="http://schemas.openxmlformats.org/officeDocument/2006/relationships" name="Supuestos" sheetId="2" r:id="R9fbc90c5d62b4f35"/>
    <x:sheet xmlns:r="http://schemas.openxmlformats.org/officeDocument/2006/relationships" name="Elasticidades" sheetId="3" r:id="R49d62b627ab549ba"/>
    <x:sheet xmlns:r="http://schemas.openxmlformats.org/officeDocument/2006/relationships" name="Simulador" sheetId="4" r:id="R7c7a545da1474285"/>
    <x:sheet xmlns:r="http://schemas.openxmlformats.org/officeDocument/2006/relationships" name="Sensibilidad" sheetId="5" r:id="R5e2fbb3ed3404592"/>
  </x:sheets>
</x:workbook>
</file>

<file path=xl/comments1.xml><?xml version="1.0" encoding="utf-8"?>
<x:comments xmlns:x="http://schemas.openxmlformats.org/spreadsheetml/2006/main">
  <x:authors>
    <x:author>tc={7C9EB8C0-CBA3-4108-9874-1B83783AB5B0}</x:author>
  </x:authors>
  <x:commentList>
    <x:comment ref="G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 central: combina elasticidad propia y cruzada mediante SUMPRODUCT. El MAX evita volumen negativo.</x:t>
        </x:r>
      </x:text>
    </x:comment>
  </x:commentList>
</x:comments>
</file>

<file path=xl/comments2.xml><?xml version="1.0" encoding="utf-8"?>
<x:comments xmlns:x="http://schemas.openxmlformats.org/spreadsheetml/2006/main">
  <x:authors>
    <x:author>tc={F0BBCB08-120C-4552-B78A-38F35E6DDBBB}</x:author>
  </x:authors>
  <x:commentList>
    <x:comment ref="G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La sensibilidad es individual y no incorpora canibalizacion; el Simulador es la vista portafolio.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#,##0"/>
    <x:numFmt numFmtId="202" formatCode="0.00"/>
    <x:numFmt numFmtId="203" formatCode="0.0%"/>
    <x:numFmt numFmtId="204" formatCode="&quot;$&quot;#,##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74151"/>
      <x:name val="Carlito"/>
    </x:font>
    <x:font>
      <x:b/>
      <x:sz val="14"/>
      <x:color rgb="FF0F172A"/>
      <x:name val="Carlito"/>
    </x:font>
    <x:font>
      <x:sz val="11"/>
      <x:color rgb="FF37415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2563EB"/>
      <x:name val="Carlito"/>
    </x:font>
    <x:font>
      <x:sz val="11"/>
      <x:color rgb="FF111827"/>
      <x:name val="Carlito"/>
    </x:font>
    <x:font>
      <x:i/>
      <x:sz val="9"/>
      <x:color rgb="FF64748B"/>
      <x:name val="Carlito"/>
    </x:font>
    <x:font>
      <x:b/>
      <x:sz val="10"/>
      <x:color rgb="FFF97316"/>
      <x:name val="Carlito"/>
    </x:font>
    <x:font>
      <x:b/>
      <x:sz val="11"/>
      <x:color rgb="FF0F172A"/>
      <x:name val="Carlito"/>
    </x:font>
    <x:font>
      <x:sz val="10"/>
      <x:color rgb="FF374151"/>
      <x:name val="Carlito"/>
    </x:font>
    <x:font>
      <x:b/>
      <x:sz val="10"/>
      <x:color rgb="FFFFFFFF"/>
      <x:name val="Carlito"/>
    </x:font>
    <x:font>
      <x:b/>
      <x:sz val="16"/>
      <x:color rgb="FF0F17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2563EB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FEDD5"/>
      </x:patternFill>
    </x:fill>
    <x:fill>
      <x:patternFill patternType="solid">
        <x:fgColor rgb="FFFFFFFF"/>
      </x:patternFill>
    </x:fill>
    <x:fill>
      <x:patternFill patternType="solid">
        <x:fgColor rgb="FFF97316"/>
      </x:patternFill>
    </x:fill>
    <x:fill>
      <x:patternFill patternType="solid">
        <x:fgColor rgb="FF16A34A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0F172A"/>
      </x:left>
      <x:right style="thin">
        <x:color rgb="FF0F172A"/>
      </x:right>
      <x:top style="thin">
        <x:color rgb="FF0F172A"/>
      </x:top>
      <x:bottom style="thin">
        <x:color rgb="FF0F172A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0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200" fontId="6" fillId="6" borderId="2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vertical="center"/>
    </x:xf>
    <x:xf numFmtId="201" fontId="6" fillId="6" borderId="2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vertical="center"/>
    </x:xf>
    <x:xf numFmtId="202" fontId="6" fillId="6" borderId="2" xfId="0" applyNumberFormat="1" applyFont="1" applyFill="1" applyBorder="1" applyAlignment="1">
      <x:alignment vertical="center"/>
    </x:xf>
    <x:xf numFmtId="202" fontId="6" fillId="6" borderId="3" xfId="0" applyNumberFormat="1" applyFont="1" applyFill="1" applyBorder="1" applyAlignment="1">
      <x:alignment vertical="center"/>
    </x:xf>
    <x:xf numFmtId="203" fontId="6" fillId="6" borderId="2" xfId="0" applyNumberFormat="1" applyFont="1" applyFill="1" applyBorder="1" applyAlignment="1">
      <x:alignment vertical="center"/>
    </x:xf>
    <x:xf numFmtId="203" fontId="6" fillId="5" borderId="2" xfId="0" applyNumberFormat="1" applyFont="1" applyFill="1" applyBorder="1" applyAlignment="1">
      <x:alignment vertical="center"/>
    </x:xf>
    <x:xf numFmtId="203" fontId="6" fillId="6" borderId="3" xfId="0" applyNumberFormat="1" applyFont="1" applyFill="1" applyBorder="1" applyAlignment="1">
      <x:alignment vertical="center"/>
    </x:xf>
    <x:xf numFmtId="203" fontId="6" fillId="5" borderId="3" xfId="0" applyNumberFormat="1" applyFont="1" applyFill="1" applyBorder="1" applyAlignment="1">
      <x:alignment vertical="center"/>
    </x:xf>
    <x:xf numFmtId="200" fontId="6" fillId="5" borderId="2" xfId="0" applyNumberFormat="1" applyFont="1" applyFill="1" applyBorder="1" applyAlignment="1">
      <x:alignment vertical="center"/>
    </x:xf>
    <x:xf numFmtId="200" fontId="6" fillId="5" borderId="3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horizontal="center" vertical="center"/>
    </x:xf>
    <x:xf numFmtId="202" fontId="6" fillId="0" borderId="3" xfId="0" applyNumberFormat="1" applyFont="1" applyFill="1" applyBorder="1" applyAlignment="1">
      <x:alignment horizontal="center" vertical="center"/>
    </x:xf>
    <x:xf numFmtId="202" fontId="6" fillId="8" borderId="2" xfId="0" applyNumberFormat="1" applyFont="1" applyFill="1" applyBorder="1" applyAlignment="1">
      <x:alignment horizontal="center" vertical="center"/>
    </x:xf>
    <x:xf numFmtId="202" fontId="10" fillId="8" borderId="2" xfId="0" applyNumberFormat="1" applyFont="1" applyFill="1" applyBorder="1" applyAlignment="1">
      <x:alignment horizontal="center" vertical="center"/>
    </x:xf>
    <x:xf numFmtId="202" fontId="6" fillId="8" borderId="3" xfId="0" applyNumberFormat="1" applyFont="1" applyFill="1" applyBorder="1" applyAlignment="1">
      <x:alignment horizontal="center" vertical="center"/>
    </x:xf>
    <x:xf numFmtId="202" fontId="10" fillId="8" borderId="3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11" fillId="6" borderId="0" xfId="0" applyNumberFormat="1" applyFont="1" applyFill="1" applyBorder="1"/>
    <x:xf numFmtId="203" fontId="11" fillId="6" borderId="0" xfId="0" applyNumberFormat="1" applyFont="1" applyFill="1" applyBorder="1"/>
    <x:xf numFmtId="203" fontId="11" fillId="6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4" xfId="0" applyNumberFormat="1" applyFont="1" applyFill="1" applyBorder="1"/>
    <x:xf numFmtId="0" fontId="14" fillId="9" borderId="5" xfId="0" applyNumberFormat="1" applyFont="1" applyFill="1" applyBorder="1"/>
    <x:xf numFmtId="0" fontId="14" fillId="9" borderId="6" xfId="0" applyNumberFormat="1" applyFont="1" applyFill="1" applyBorder="1"/>
    <x:xf numFmtId="0" fontId="14" fillId="9" borderId="7" xfId="0" applyNumberFormat="1" applyFont="1" applyFill="1" applyBorder="1"/>
    <x:xf numFmtId="0" fontId="14" fillId="9" borderId="2" xfId="0" applyNumberFormat="1" applyFont="1" applyFill="1" applyBorder="1"/>
    <x:xf numFmtId="0" fontId="14" fillId="9" borderId="8" xfId="0" applyNumberFormat="1" applyFont="1" applyFill="1" applyBorder="1"/>
    <x:xf numFmtId="201" fontId="14" fillId="9" borderId="4" xfId="0" applyNumberFormat="1" applyFont="1" applyFill="1" applyBorder="1"/>
    <x:xf numFmtId="201" fontId="14" fillId="9" borderId="5" xfId="0" applyNumberFormat="1" applyFont="1" applyFill="1" applyBorder="1"/>
    <x:xf numFmtId="201" fontId="14" fillId="9" borderId="6" xfId="0" applyNumberFormat="1" applyFont="1" applyFill="1" applyBorder="1"/>
    <x:xf numFmtId="201" fontId="14" fillId="9" borderId="7" xfId="0" applyNumberFormat="1" applyFont="1" applyFill="1" applyBorder="1"/>
    <x:xf numFmtId="201" fontId="14" fillId="9" borderId="2" xfId="0" applyNumberFormat="1" applyFont="1" applyFill="1" applyBorder="1"/>
    <x:xf numFmtId="201" fontId="14" fillId="9" borderId="8" xfId="0" applyNumberFormat="1" applyFont="1" applyFill="1" applyBorder="1"/>
    <x:xf numFmtId="201" fontId="14" fillId="9" borderId="4" xfId="0" applyNumberFormat="1" applyFont="1" applyFill="1" applyBorder="1" applyAlignment="1">
      <x:alignment horizontal="center"/>
    </x:xf>
    <x:xf numFmtId="201" fontId="14" fillId="9" borderId="5" xfId="0" applyNumberFormat="1" applyFont="1" applyFill="1" applyBorder="1" applyAlignment="1">
      <x:alignment horizontal="center"/>
    </x:xf>
    <x:xf numFmtId="201" fontId="14" fillId="9" borderId="6" xfId="0" applyNumberFormat="1" applyFont="1" applyFill="1" applyBorder="1" applyAlignment="1">
      <x:alignment horizontal="center"/>
    </x:xf>
    <x:xf numFmtId="201" fontId="14" fillId="9" borderId="7" xfId="0" applyNumberFormat="1" applyFont="1" applyFill="1" applyBorder="1" applyAlignment="1">
      <x:alignment horizontal="center"/>
    </x:xf>
    <x:xf numFmtId="201" fontId="14" fillId="9" borderId="2" xfId="0" applyNumberFormat="1" applyFont="1" applyFill="1" applyBorder="1" applyAlignment="1">
      <x:alignment horizontal="center"/>
    </x:xf>
    <x:xf numFmtId="201" fontId="14" fillId="9" borderId="8" xfId="0" applyNumberFormat="1" applyFont="1" applyFill="1" applyBorder="1" applyAlignment="1">
      <x:alignment horizontal="center"/>
    </x:xf>
    <x:xf numFmtId="201" fontId="14" fillId="9" borderId="4" xfId="0" applyNumberFormat="1" applyFont="1" applyFill="1" applyBorder="1" applyAlignment="1">
      <x:alignment horizontal="center" vertical="center"/>
    </x:xf>
    <x:xf numFmtId="201" fontId="14" fillId="9" borderId="5" xfId="0" applyNumberFormat="1" applyFont="1" applyFill="1" applyBorder="1" applyAlignment="1">
      <x:alignment horizontal="center" vertical="center"/>
    </x:xf>
    <x:xf numFmtId="201" fontId="14" fillId="9" borderId="6" xfId="0" applyNumberFormat="1" applyFont="1" applyFill="1" applyBorder="1" applyAlignment="1">
      <x:alignment horizontal="center" vertical="center"/>
    </x:xf>
    <x:xf numFmtId="201" fontId="14" fillId="9" borderId="7" xfId="0" applyNumberFormat="1" applyFont="1" applyFill="1" applyBorder="1" applyAlignment="1">
      <x:alignment horizontal="center" vertical="center"/>
    </x:xf>
    <x:xf numFmtId="201" fontId="14" fillId="9" borderId="2" xfId="0" applyNumberFormat="1" applyFont="1" applyFill="1" applyBorder="1" applyAlignment="1">
      <x:alignment horizontal="center" vertical="center"/>
    </x:xf>
    <x:xf numFmtId="201" fontId="14" fillId="9" borderId="8" xfId="0" applyNumberFormat="1" applyFont="1" applyFill="1" applyBorder="1" applyAlignment="1">
      <x:alignment horizontal="center" vertical="center"/>
    </x:xf>
    <x:xf numFmtId="204" fontId="14" fillId="9" borderId="4" xfId="0" applyNumberFormat="1" applyFont="1" applyFill="1" applyBorder="1"/>
    <x:xf numFmtId="204" fontId="14" fillId="9" borderId="5" xfId="0" applyNumberFormat="1" applyFont="1" applyFill="1" applyBorder="1"/>
    <x:xf numFmtId="204" fontId="14" fillId="9" borderId="6" xfId="0" applyNumberFormat="1" applyFont="1" applyFill="1" applyBorder="1"/>
    <x:xf numFmtId="204" fontId="14" fillId="9" borderId="7" xfId="0" applyNumberFormat="1" applyFont="1" applyFill="1" applyBorder="1"/>
    <x:xf numFmtId="204" fontId="14" fillId="9" borderId="2" xfId="0" applyNumberFormat="1" applyFont="1" applyFill="1" applyBorder="1"/>
    <x:xf numFmtId="204" fontId="14" fillId="9" borderId="8" xfId="0" applyNumberFormat="1" applyFont="1" applyFill="1" applyBorder="1"/>
    <x:xf numFmtId="204" fontId="14" fillId="9" borderId="4" xfId="0" applyNumberFormat="1" applyFont="1" applyFill="1" applyBorder="1" applyAlignment="1">
      <x:alignment horizontal="center"/>
    </x:xf>
    <x:xf numFmtId="204" fontId="14" fillId="9" borderId="5" xfId="0" applyNumberFormat="1" applyFont="1" applyFill="1" applyBorder="1" applyAlignment="1">
      <x:alignment horizontal="center"/>
    </x:xf>
    <x:xf numFmtId="204" fontId="14" fillId="9" borderId="6" xfId="0" applyNumberFormat="1" applyFont="1" applyFill="1" applyBorder="1" applyAlignment="1">
      <x:alignment horizontal="center"/>
    </x:xf>
    <x:xf numFmtId="204" fontId="14" fillId="9" borderId="7" xfId="0" applyNumberFormat="1" applyFont="1" applyFill="1" applyBorder="1" applyAlignment="1">
      <x:alignment horizontal="center"/>
    </x:xf>
    <x:xf numFmtId="204" fontId="14" fillId="9" borderId="2" xfId="0" applyNumberFormat="1" applyFont="1" applyFill="1" applyBorder="1" applyAlignment="1">
      <x:alignment horizontal="center"/>
    </x:xf>
    <x:xf numFmtId="204" fontId="14" fillId="9" borderId="8" xfId="0" applyNumberFormat="1" applyFont="1" applyFill="1" applyBorder="1" applyAlignment="1">
      <x:alignment horizontal="center"/>
    </x:xf>
    <x:xf numFmtId="204" fontId="14" fillId="9" borderId="4" xfId="0" applyNumberFormat="1" applyFont="1" applyFill="1" applyBorder="1" applyAlignment="1">
      <x:alignment horizontal="center" vertical="center"/>
    </x:xf>
    <x:xf numFmtId="204" fontId="14" fillId="9" borderId="5" xfId="0" applyNumberFormat="1" applyFont="1" applyFill="1" applyBorder="1" applyAlignment="1">
      <x:alignment horizontal="center" vertical="center"/>
    </x:xf>
    <x:xf numFmtId="204" fontId="14" fillId="9" borderId="6" xfId="0" applyNumberFormat="1" applyFont="1" applyFill="1" applyBorder="1" applyAlignment="1">
      <x:alignment horizontal="center" vertical="center"/>
    </x:xf>
    <x:xf numFmtId="204" fontId="14" fillId="9" borderId="7" xfId="0" applyNumberFormat="1" applyFont="1" applyFill="1" applyBorder="1" applyAlignment="1">
      <x:alignment horizontal="center" vertical="center"/>
    </x:xf>
    <x:xf numFmtId="204" fontId="14" fillId="9" borderId="2" xfId="0" applyNumberFormat="1" applyFont="1" applyFill="1" applyBorder="1" applyAlignment="1">
      <x:alignment horizontal="center" vertical="center"/>
    </x:xf>
    <x:xf numFmtId="204" fontId="14" fillId="9" borderId="8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 vertical="center"/>
    </x:xf>
    <x:xf numFmtId="203" fontId="14" fillId="9" borderId="4" xfId="0" applyNumberFormat="1" applyFont="1" applyFill="1" applyBorder="1"/>
    <x:xf numFmtId="203" fontId="14" fillId="9" borderId="5" xfId="0" applyNumberFormat="1" applyFont="1" applyFill="1" applyBorder="1"/>
    <x:xf numFmtId="203" fontId="14" fillId="9" borderId="6" xfId="0" applyNumberFormat="1" applyFont="1" applyFill="1" applyBorder="1"/>
    <x:xf numFmtId="203" fontId="14" fillId="9" borderId="7" xfId="0" applyNumberFormat="1" applyFont="1" applyFill="1" applyBorder="1"/>
    <x:xf numFmtId="203" fontId="14" fillId="9" borderId="2" xfId="0" applyNumberFormat="1" applyFont="1" applyFill="1" applyBorder="1"/>
    <x:xf numFmtId="203" fontId="14" fillId="9" borderId="8" xfId="0" applyNumberFormat="1" applyFont="1" applyFill="1" applyBorder="1"/>
    <x:xf numFmtId="203" fontId="14" fillId="9" borderId="4" xfId="0" applyNumberFormat="1" applyFont="1" applyFill="1" applyBorder="1" applyAlignment="1">
      <x:alignment horizontal="center"/>
    </x:xf>
    <x:xf numFmtId="203" fontId="14" fillId="9" borderId="5" xfId="0" applyNumberFormat="1" applyFont="1" applyFill="1" applyBorder="1" applyAlignment="1">
      <x:alignment horizontal="center"/>
    </x:xf>
    <x:xf numFmtId="203" fontId="14" fillId="9" borderId="6" xfId="0" applyNumberFormat="1" applyFont="1" applyFill="1" applyBorder="1" applyAlignment="1">
      <x:alignment horizontal="center"/>
    </x:xf>
    <x:xf numFmtId="203" fontId="14" fillId="9" borderId="7" xfId="0" applyNumberFormat="1" applyFont="1" applyFill="1" applyBorder="1" applyAlignment="1">
      <x:alignment horizontal="center"/>
    </x:xf>
    <x:xf numFmtId="203" fontId="14" fillId="9" borderId="2" xfId="0" applyNumberFormat="1" applyFont="1" applyFill="1" applyBorder="1" applyAlignment="1">
      <x:alignment horizontal="center"/>
    </x:xf>
    <x:xf numFmtId="203" fontId="14" fillId="9" borderId="8" xfId="0" applyNumberFormat="1" applyFont="1" applyFill="1" applyBorder="1" applyAlignment="1">
      <x:alignment horizontal="center"/>
    </x:xf>
    <x:xf numFmtId="203" fontId="14" fillId="9" borderId="4" xfId="0" applyNumberFormat="1" applyFont="1" applyFill="1" applyBorder="1" applyAlignment="1">
      <x:alignment horizontal="center" vertical="center"/>
    </x:xf>
    <x:xf numFmtId="203" fontId="14" fillId="9" borderId="5" xfId="0" applyNumberFormat="1" applyFont="1" applyFill="1" applyBorder="1" applyAlignment="1">
      <x:alignment horizontal="center" vertical="center"/>
    </x:xf>
    <x:xf numFmtId="203" fontId="14" fillId="9" borderId="6" xfId="0" applyNumberFormat="1" applyFont="1" applyFill="1" applyBorder="1" applyAlignment="1">
      <x:alignment horizontal="center" vertical="center"/>
    </x:xf>
    <x:xf numFmtId="203" fontId="14" fillId="9" borderId="7" xfId="0" applyNumberFormat="1" applyFont="1" applyFill="1" applyBorder="1" applyAlignment="1">
      <x:alignment horizontal="center" vertical="center"/>
    </x:xf>
    <x:xf numFmtId="203" fontId="14" fillId="9" borderId="2" xfId="0" applyNumberFormat="1" applyFont="1" applyFill="1" applyBorder="1" applyAlignment="1">
      <x:alignment horizontal="center" vertical="center"/>
    </x:xf>
    <x:xf numFmtId="203" fontId="14" fillId="9" borderId="8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horizontal="center"/>
    </x:xf>
    <x:xf numFmtId="0" fontId="13" fillId="11" borderId="0" xfId="0" applyNumberFormat="1" applyFont="1" applyFill="1" applyBorder="1" applyAlignment="1">
      <x:alignment horizontal="center" vertical="center"/>
    </x:xf>
    <x:xf numFmtId="203" fontId="6" fillId="0" borderId="2" xfId="0" applyNumberFormat="1" applyFont="1" applyFill="1" applyBorder="1" applyAlignment="1">
      <x:alignment vertical="center"/>
    </x:xf>
    <x:xf numFmtId="203" fontId="6" fillId="0" borderId="3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4" fontId="6" fillId="0" borderId="3" xfId="0" applyNumberFormat="1" applyFont="1" applyFill="1" applyBorder="1" applyAlignment="1">
      <x:alignment vertical="center"/>
    </x:xf>
    <x:xf numFmtId="201" fontId="6" fillId="5" borderId="2" xfId="0" applyNumberFormat="1" applyFont="1" applyFill="1" applyBorder="1" applyAlignment="1">
      <x:alignment vertical="center"/>
    </x:xf>
    <x:xf numFmtId="201" fontId="6" fillId="5" borderId="3" xfId="0" applyNumberFormat="1" applyFont="1" applyFill="1" applyBorder="1" applyAlignment="1">
      <x:alignment vertical="center"/>
    </x:xf>
    <x:xf numFmtId="204" fontId="6" fillId="5" borderId="2" xfId="0" applyNumberFormat="1" applyFont="1" applyFill="1" applyBorder="1" applyAlignment="1">
      <x:alignment vertical="center"/>
    </x:xf>
    <x:xf numFmtId="204" fontId="6" fillId="5" borderId="3" xfId="0" applyNumberFormat="1" applyFont="1" applyFill="1" applyBorder="1" applyAlignment="1">
      <x:alignment vertical="center"/>
    </x:xf>
    <x:xf numFmtId="0" fontId="5" fillId="2" borderId="9" xfId="0" applyNumberFormat="1" applyFont="1" applyFill="1" applyBorder="1"/>
    <x:xf numFmtId="201" fontId="5" fillId="2" borderId="9" xfId="0" applyNumberFormat="1" applyFont="1" applyFill="1" applyBorder="1"/>
    <x:xf numFmtId="203" fontId="5" fillId="2" borderId="9" xfId="0" applyNumberFormat="1" applyFont="1" applyFill="1" applyBorder="1"/>
    <x:xf numFmtId="204" fontId="5" fillId="2" borderId="9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f92c133824779" /><Relationship Type="http://schemas.openxmlformats.org/officeDocument/2006/relationships/theme" Target="/xl/theme/theme1.xml" Id="R8386854ec2cd46ec" /><Relationship Type="http://schemas.openxmlformats.org/officeDocument/2006/relationships/sharedStrings" Target="/xl/sharedStrings.xml" Id="Rac4ee62cc4174154" /><Relationship Type="http://schemas.openxmlformats.org/officeDocument/2006/relationships/worksheet" Target="/xl/worksheets/sheet1.xml" Id="Re1499de7ff9642d9" /><Relationship Type="http://schemas.openxmlformats.org/officeDocument/2006/relationships/worksheet" Target="/xl/worksheets/sheet2.xml" Id="R9fbc90c5d62b4f35" /><Relationship Type="http://schemas.openxmlformats.org/officeDocument/2006/relationships/worksheet" Target="/xl/worksheets/sheet3.xml" Id="R49d62b627ab549ba" /><Relationship Type="http://schemas.openxmlformats.org/officeDocument/2006/relationships/worksheet" Target="/xl/worksheets/sheet4.xml" Id="R7c7a545da1474285" /><Relationship Type="http://schemas.openxmlformats.org/officeDocument/2006/relationships/worksheet" Target="/xl/worksheets/sheet5.xml" Id="R5e2fbb3ed3404592" /><Relationship Type="http://schemas.microsoft.com/office/2017/10/relationships/person" Target="/xl/persons/person.xml" Id="Rde3d2aba151843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61b2a59ace4b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Ingreso y contribucion responden distinto al descuento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Var. ingreso</c:v>
          </c:tx>
          <c:marker>
            <c:symbol val="none"/>
          </c:marker>
          <c:cat>
            <c:strRef>
              <c:f>'Sensibilidad'!$I$9:$I$17</c:f>
              <c:strCache>
                <c:ptCount val="0"/>
              </c:strCache>
            </c:strRef>
          </c:cat>
          <c:val>
            <c:numRef>
              <c:f>'Sensibilidad'!$J$9:$J$17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Var. contribucion</c:v>
          </c:tx>
          <c:marker>
            <c:symbol val="none"/>
          </c:marker>
          <c:cat>
            <c:strRef>
              <c:f>'Sensibilidad'!$I$9:$I$17</c:f>
              <c:strCache>
                <c:ptCount val="0"/>
              </c:strCache>
            </c:strRef>
          </c:cat>
          <c:val>
            <c:numRef>
              <c:f>'Sensibilidad'!$K$9:$K$17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Descuento</a:t>
                </a:r>
              </a:p>
            </c:rich>
          </c:tx>
          <c:overlay val="0"/>
        </c:title>
        <c:numFmt formatCode="0%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BD5E1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Variacion vs. base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61b2a59ace4ba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arlos Segura" id="{B79BB0B5-B3DC-493B-A976-993D6DD7E45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12" dT="2026-08-31T22:50:08.22" personId="{B79BB0B5-B3DC-493B-A976-993D6DD7E453}" id="{7C9EB8C0-CBA3-4108-9874-1B83783AB5B0}">
    <xltc:text>Formula central: combina elasticidad propia y cruzada mediante SUMPRODUCT. El MAX evita volumen negativo.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G9" dT="2026-08-31T22:50:08.221" personId="{B79BB0B5-B3DC-493B-A976-993D6DD7E453}" id="{F0BBCB08-120C-4552-B78A-38F35E6DDBBB}">
    <xltc:text>La sensibilidad es individual y no incorpora canibalizacion; el Simulador es la vista portafolio.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a1aadace36164e40" /><Relationship Type="http://schemas.openxmlformats.org/officeDocument/2006/relationships/vmlDrawing" Target="/xl/drawings/vmldrawing.vml" Id="Rb271d884b12e49b4" /><Relationship Type="http://schemas.microsoft.com/office/2017/10/relationships/threadedComment" Target="/xl/threadedcomments/threadedcomment.xml" Id="Rd59b4ce9c6d545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6d8ccfb9da8d4de3" /><Relationship Type="http://schemas.openxmlformats.org/officeDocument/2006/relationships/vmlDrawing" Target="/xl/drawings/vmldrawing2.vml" Id="R68bb60d065434865" /><Relationship Type="http://schemas.microsoft.com/office/2017/10/relationships/threadedComment" Target="/xl/threadedcomments/threadedcomment2.xml" Id="R13aa34cfa03b46ce" /><Relationship Type="http://schemas.openxmlformats.org/officeDocument/2006/relationships/drawing" Target="/xl/drawings/drawing1.xml" Id="Rdf765098b6ff42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Beverage Commercial Decision Lab | Simulador de precios</x:v>
      </x:c>
      <x:c r="B1" s="3" t="str">
        <x:v>Beverage Commercial Decision Lab | Simulador de precios</x:v>
      </x:c>
      <x:c r="C1" s="3" t="str">
        <x:v>Beverage Commercial Decision Lab | Simulador de precios</x:v>
      </x:c>
      <x:c r="D1" s="3" t="str">
        <x:v>Beverage Commercial Decision Lab | Simulador de precios</x:v>
      </x:c>
      <x:c r="E1" s="3" t="str">
        <x:v>Beverage Commercial Decision Lab | Simulador de precios</x:v>
      </x:c>
      <x:c r="F1" s="3" t="str">
        <x:v>Beverage Commercial Decision Lab | Simulador de precios</x:v>
      </x:c>
      <x:c r="G1" s="3" t="str">
        <x:v>Beverage Commercial Decision Lab | Simulador de precios</x:v>
      </x:c>
      <x:c r="H1" s="3" t="str">
        <x:v>Beverage Commercial Decision Lab | Simulador de precios</x:v>
      </x:c>
    </x:row>
    <x:row r="2" ht="32" customHeight="1">
      <x:c r="A2" s="3" t="str">
        <x:v>Beverage Commercial Decision Lab | Simulador de precios</x:v>
      </x:c>
      <x:c r="B2" s="3" t="str">
        <x:v>Beverage Commercial Decision Lab | Simulador de precios</x:v>
      </x:c>
      <x:c r="C2" s="3" t="str">
        <x:v>Beverage Commercial Decision Lab | Simulador de precios</x:v>
      </x:c>
      <x:c r="D2" s="3" t="str">
        <x:v>Beverage Commercial Decision Lab | Simulador de precios</x:v>
      </x:c>
      <x:c r="E2" s="3" t="str">
        <x:v>Beverage Commercial Decision Lab | Simulador de precios</x:v>
      </x:c>
      <x:c r="F2" s="3" t="str">
        <x:v>Beverage Commercial Decision Lab | Simulador de precios</x:v>
      </x:c>
      <x:c r="G2" s="3" t="str">
        <x:v>Beverage Commercial Decision Lab | Simulador de precios</x:v>
      </x:c>
      <x:c r="H2" s="3" t="str">
        <x:v>Beverage Commercial Decision Lab | Simulador de precios</x:v>
      </x:c>
    </x:row>
    <x:row r="3" ht="30" customHeight="1">
      <x:c r="A3" s="7" t="str">
        <x:v>Modelo demostrativo con datos sinteticos. No representa una recomendacion comercial real.</x:v>
      </x:c>
      <x:c r="B3" s="7" t="str">
        <x:v>Modelo demostrativo con datos sinteticos. No representa una recomendacion comercial real.</x:v>
      </x:c>
      <x:c r="C3" s="7" t="str">
        <x:v>Modelo demostrativo con datos sinteticos. No representa una recomendacion comercial real.</x:v>
      </x:c>
      <x:c r="D3" s="7" t="str">
        <x:v>Modelo demostrativo con datos sinteticos. No representa una recomendacion comercial real.</x:v>
      </x:c>
      <x:c r="E3" s="7" t="str">
        <x:v>Modelo demostrativo con datos sinteticos. No representa una recomendacion comercial real.</x:v>
      </x:c>
      <x:c r="F3" s="7" t="str">
        <x:v>Modelo demostrativo con datos sinteticos. No representa una recomendacion comercial real.</x:v>
      </x:c>
      <x:c r="G3" s="7" t="str">
        <x:v>Modelo demostrativo con datos sinteticos. No representa una recomendacion comercial real.</x:v>
      </x:c>
      <x:c r="H3" s="7" t="str">
        <x:v>Modelo demostrativo con datos sinteticos. No representa una recomendacion comercial real.</x:v>
      </x:c>
    </x:row>
    <x:row r="4" ht="30" customHeight="1">
      <x:c r="A4" s="7" t="str">
        <x:v>Modelo demostrativo con datos sinteticos. No representa una recomendacion comercial real.</x:v>
      </x:c>
      <x:c r="B4" s="7" t="str">
        <x:v>Modelo demostrativo con datos sinteticos. No representa una recomendacion comercial real.</x:v>
      </x:c>
      <x:c r="C4" s="7" t="str">
        <x:v>Modelo demostrativo con datos sinteticos. No representa una recomendacion comercial real.</x:v>
      </x:c>
      <x:c r="D4" s="7" t="str">
        <x:v>Modelo demostrativo con datos sinteticos. No representa una recomendacion comercial real.</x:v>
      </x:c>
      <x:c r="E4" s="7" t="str">
        <x:v>Modelo demostrativo con datos sinteticos. No representa una recomendacion comercial real.</x:v>
      </x:c>
      <x:c r="F4" s="7" t="str">
        <x:v>Modelo demostrativo con datos sinteticos. No representa una recomendacion comercial real.</x:v>
      </x:c>
      <x:c r="G4" s="7" t="str">
        <x:v>Modelo demostrativo con datos sinteticos. No representa una recomendacion comercial real.</x:v>
      </x:c>
      <x:c r="H4" s="7" t="str">
        <x:v>Modelo demostrativo con datos sinteticos. No representa una recomendacion comercial real.</x:v>
      </x:c>
    </x:row>
    <x:row r="6">
      <x:c r="A6" s="8" t="str">
        <x:v>Objetivo</x:v>
      </x:c>
      <x:c r="B6" s="8" t="str">
        <x:v>Objetivo</x:v>
      </x:c>
      <x:c r="C6" s="8" t="str">
        <x:v>Objetivo</x:v>
      </x:c>
      <x:c r="D6" s="8" t="str">
        <x:v>Objetivo</x:v>
      </x:c>
      <x:c r="E6" s="8" t="str">
        <x:v>Objetivo</x:v>
      </x:c>
      <x:c r="F6" s="8" t="str">
        <x:v>Objetivo</x:v>
      </x:c>
      <x:c r="G6" s="8" t="str">
        <x:v>Objetivo</x:v>
      </x:c>
      <x:c r="H6" s="8" t="str">
        <x:v>Objetivo</x:v>
      </x:c>
    </x:row>
    <x:row r="7">
      <x:c r="A7" s="10" t="str">
        <x:v>Evaluar como un cambio de precio modifica volumen, ingreso y contribucion considerando elasticidades propias y relaciones de sustitucion entre productos.</x:v>
      </x:c>
      <x:c r="B7" s="10" t="str">
        <x:v>Evaluar como un cambio de precio modifica volumen, ingreso y contribucion considerando elasticidades propias y relaciones de sustitucion entre productos.</x:v>
      </x:c>
      <x:c r="C7" s="10" t="str">
        <x:v>Evaluar como un cambio de precio modifica volumen, ingreso y contribucion considerando elasticidades propias y relaciones de sustitucion entre productos.</x:v>
      </x:c>
      <x:c r="D7" s="10" t="str">
        <x:v>Evaluar como un cambio de precio modifica volumen, ingreso y contribucion considerando elasticidades propias y relaciones de sustitucion entre productos.</x:v>
      </x:c>
      <x:c r="E7" s="10" t="str">
        <x:v>Evaluar como un cambio de precio modifica volumen, ingreso y contribucion considerando elasticidades propias y relaciones de sustitucion entre productos.</x:v>
      </x:c>
      <x:c r="F7" s="10" t="str">
        <x:v>Evaluar como un cambio de precio modifica volumen, ingreso y contribucion considerando elasticidades propias y relaciones de sustitucion entre productos.</x:v>
      </x:c>
      <x:c r="G7" s="10" t="str">
        <x:v>Evaluar como un cambio de precio modifica volumen, ingreso y contribucion considerando elasticidades propias y relaciones de sustitucion entre productos.</x:v>
      </x:c>
      <x:c r="H7" s="10" t="str">
        <x:v>Evaluar como un cambio de precio modifica volumen, ingreso y contribucion considerando elasticidades propias y relaciones de sustitucion entre productos.</x:v>
      </x:c>
    </x:row>
    <x:row r="8">
      <x:c r="A8" s="10" t="str">
        <x:v>Evaluar como un cambio de precio modifica volumen, ingreso y contribucion considerando elasticidades propias y relaciones de sustitucion entre productos.</x:v>
      </x:c>
      <x:c r="B8" s="10" t="str">
        <x:v>Evaluar como un cambio de precio modifica volumen, ingreso y contribucion considerando elasticidades propias y relaciones de sustitucion entre productos.</x:v>
      </x:c>
      <x:c r="C8" s="10" t="str">
        <x:v>Evaluar como un cambio de precio modifica volumen, ingreso y contribucion considerando elasticidades propias y relaciones de sustitucion entre productos.</x:v>
      </x:c>
      <x:c r="D8" s="10" t="str">
        <x:v>Evaluar como un cambio de precio modifica volumen, ingreso y contribucion considerando elasticidades propias y relaciones de sustitucion entre productos.</x:v>
      </x:c>
      <x:c r="E8" s="10" t="str">
        <x:v>Evaluar como un cambio de precio modifica volumen, ingreso y contribucion considerando elasticidades propias y relaciones de sustitucion entre productos.</x:v>
      </x:c>
      <x:c r="F8" s="10" t="str">
        <x:v>Evaluar como un cambio de precio modifica volumen, ingreso y contribucion considerando elasticidades propias y relaciones de sustitucion entre productos.</x:v>
      </x:c>
      <x:c r="G8" s="10" t="str">
        <x:v>Evaluar como un cambio de precio modifica volumen, ingreso y contribucion considerando elasticidades propias y relaciones de sustitucion entre productos.</x:v>
      </x:c>
      <x:c r="H8" s="10" t="str">
        <x:v>Evaluar como un cambio de precio modifica volumen, ingreso y contribucion considerando elasticidades propias y relaciones de sustitucion entre productos.</x:v>
      </x:c>
    </x:row>
    <x:row r="10" ht="32" customHeight="1">
      <x:c r="A10" s="16" t="str">
        <x:v>Paso</x:v>
      </x:c>
      <x:c r="B10" s="16" t="str">
        <x:v>Accion</x:v>
      </x:c>
      <x:c r="C10" s="16"/>
      <x:c r="D10" s="16"/>
      <x:c r="E10" s="16"/>
      <x:c r="F10" s="16"/>
      <x:c r="G10" s="16"/>
      <x:c r="H10" s="16"/>
    </x:row>
    <x:row r="11">
      <x:c r="A11" s="24" t="str">
        <x:v>1</x:v>
      </x:c>
      <x:c r="B11" s="20" t="str">
        <x:v>Revisa precios, costos, volumen y elasticidades en Supuestos.</x:v>
      </x:c>
      <x:c r="C11" s="20"/>
      <x:c r="D11" s="20"/>
      <x:c r="E11" s="20"/>
      <x:c r="F11" s="20"/>
      <x:c r="G11" s="20"/>
      <x:c r="H11" s="20"/>
    </x:row>
    <x:row r="12">
      <x:c r="A12" s="25" t="str">
        <x:v>2</x:v>
      </x:c>
      <x:c r="B12" s="21" t="str">
        <x:v>Captura descuentos entre 0% y 20% en las celdas amarillas.</x:v>
      </x:c>
      <x:c r="C12" s="21"/>
      <x:c r="D12" s="21"/>
      <x:c r="E12" s="21"/>
      <x:c r="F12" s="21"/>
      <x:c r="G12" s="21"/>
      <x:c r="H12" s="21"/>
    </x:row>
    <x:row r="13">
      <x:c r="A13" s="25" t="str">
        <x:v>3</x:v>
      </x:c>
      <x:c r="B13" s="21" t="str">
        <x:v>Revisa el efecto portafolio en Simulador.</x:v>
      </x:c>
      <x:c r="C13" s="21"/>
      <x:c r="D13" s="21"/>
      <x:c r="E13" s="21"/>
      <x:c r="F13" s="21"/>
      <x:c r="G13" s="21"/>
      <x:c r="H13" s="21"/>
    </x:row>
    <x:row r="14">
      <x:c r="A14" s="25" t="str">
        <x:v>4</x:v>
      </x:c>
      <x:c r="B14" s="21" t="str">
        <x:v>Usa Sensibilidad para explorar un SKU de manera aislada.</x:v>
      </x:c>
      <x:c r="C14" s="21"/>
      <x:c r="D14" s="21"/>
      <x:c r="E14" s="21"/>
      <x:c r="F14" s="21"/>
      <x:c r="G14" s="21"/>
      <x:c r="H14" s="21"/>
    </x:row>
    <x:row r="17">
      <x:c r="A17" s="8" t="str">
        <x:v>Formula del escenario</x:v>
      </x:c>
      <x:c r="B17" s="8" t="str">
        <x:v>Formula del escenario</x:v>
      </x:c>
      <x:c r="C17" s="8" t="str">
        <x:v>Formula del escenario</x:v>
      </x:c>
      <x:c r="D17" s="8" t="str">
        <x:v>Formula del escenario</x:v>
      </x:c>
      <x:c r="E17" s="8" t="str">
        <x:v>Formula del escenario</x:v>
      </x:c>
      <x:c r="F17" s="8" t="str">
        <x:v>Formula del escenario</x:v>
      </x:c>
      <x:c r="G17" s="8" t="str">
        <x:v>Formula del escenario</x:v>
      </x:c>
      <x:c r="H17" s="8" t="str">
        <x:v>Formula del escenario</x:v>
      </x:c>
    </x:row>
    <x:row r="18">
      <x:c r="A18" s="28" t="str">
        <x:v>Volumen simulado del producto i = MAX(0, Volumen base i x [1 + SUMPRODUCT(Elasticidades de i, Cambios de precio del portafolio)]). La aproximacion se restringe a variaciones de precio de hasta 20%.</x:v>
      </x:c>
      <x:c r="B18" s="28" t="str">
        <x:v>Volumen simulado del producto i = MAX(0, Volumen base i x [1 + SUMPRODUCT(Elasticidades de i, Cambios de precio del portafolio)]). La aproximacion se restringe a variaciones de precio de hasta 20%.</x:v>
      </x:c>
      <x:c r="C18" s="28" t="str">
        <x:v>Volumen simulado del producto i = MAX(0, Volumen base i x [1 + SUMPRODUCT(Elasticidades de i, Cambios de precio del portafolio)]). La aproximacion se restringe a variaciones de precio de hasta 20%.</x:v>
      </x:c>
      <x:c r="D18" s="28" t="str">
        <x:v>Volumen simulado del producto i = MAX(0, Volumen base i x [1 + SUMPRODUCT(Elasticidades de i, Cambios de precio del portafolio)]). La aproximacion se restringe a variaciones de precio de hasta 20%.</x:v>
      </x:c>
      <x:c r="E18" s="28" t="str">
        <x:v>Volumen simulado del producto i = MAX(0, Volumen base i x [1 + SUMPRODUCT(Elasticidades de i, Cambios de precio del portafolio)]). La aproximacion se restringe a variaciones de precio de hasta 20%.</x:v>
      </x:c>
      <x:c r="F18" s="28" t="str">
        <x:v>Volumen simulado del producto i = MAX(0, Volumen base i x [1 + SUMPRODUCT(Elasticidades de i, Cambios de precio del portafolio)]). La aproximacion se restringe a variaciones de precio de hasta 20%.</x:v>
      </x:c>
      <x:c r="G18" s="28" t="str">
        <x:v>Volumen simulado del producto i = MAX(0, Volumen base i x [1 + SUMPRODUCT(Elasticidades de i, Cambios de precio del portafolio)]). La aproximacion se restringe a variaciones de precio de hasta 20%.</x:v>
      </x:c>
      <x:c r="H18" s="28" t="str">
        <x:v>Volumen simulado del producto i = MAX(0, Volumen base i x [1 + SUMPRODUCT(Elasticidades de i, Cambios de precio del portafolio)]). La aproximacion se restringe a variaciones de precio de hasta 20%.</x:v>
      </x:c>
    </x:row>
    <x:row r="19">
      <x:c r="A19" s="28" t="str">
        <x:v>Volumen simulado del producto i = MAX(0, Volumen base i x [1 + SUMPRODUCT(Elasticidades de i, Cambios de precio del portafolio)]). La aproximacion se restringe a variaciones de precio de hasta 20%.</x:v>
      </x:c>
      <x:c r="B19" s="28" t="str">
        <x:v>Volumen simulado del producto i = MAX(0, Volumen base i x [1 + SUMPRODUCT(Elasticidades de i, Cambios de precio del portafolio)]). La aproximacion se restringe a variaciones de precio de hasta 20%.</x:v>
      </x:c>
      <x:c r="C19" s="28" t="str">
        <x:v>Volumen simulado del producto i = MAX(0, Volumen base i x [1 + SUMPRODUCT(Elasticidades de i, Cambios de precio del portafolio)]). La aproximacion se restringe a variaciones de precio de hasta 20%.</x:v>
      </x:c>
      <x:c r="D19" s="28" t="str">
        <x:v>Volumen simulado del producto i = MAX(0, Volumen base i x [1 + SUMPRODUCT(Elasticidades de i, Cambios de precio del portafolio)]). La aproximacion se restringe a variaciones de precio de hasta 20%.</x:v>
      </x:c>
      <x:c r="E19" s="28" t="str">
        <x:v>Volumen simulado del producto i = MAX(0, Volumen base i x [1 + SUMPRODUCT(Elasticidades de i, Cambios de precio del portafolio)]). La aproximacion se restringe a variaciones de precio de hasta 20%.</x:v>
      </x:c>
      <x:c r="F19" s="28" t="str">
        <x:v>Volumen simulado del producto i = MAX(0, Volumen base i x [1 + SUMPRODUCT(Elasticidades de i, Cambios de precio del portafolio)]). La aproximacion se restringe a variaciones de precio de hasta 20%.</x:v>
      </x:c>
      <x:c r="G19" s="28" t="str">
        <x:v>Volumen simulado del producto i = MAX(0, Volumen base i x [1 + SUMPRODUCT(Elasticidades de i, Cambios de precio del portafolio)]). La aproximacion se restringe a variaciones de precio de hasta 20%.</x:v>
      </x:c>
      <x:c r="H19" s="28" t="str">
        <x:v>Volumen simulado del producto i = MAX(0, Volumen base i x [1 + SUMPRODUCT(Elasticidades de i, Cambios de precio del portafolio)]). La aproximacion se restringe a variaciones de precio de hasta 20%.</x:v>
      </x:c>
    </x:row>
    <x:row r="20">
      <x:c r="A20" s="28" t="str">
        <x:v>Volumen simulado del producto i = MAX(0, Volumen base i x [1 + SUMPRODUCT(Elasticidades de i, Cambios de precio del portafolio)]). La aproximacion se restringe a variaciones de precio de hasta 20%.</x:v>
      </x:c>
      <x:c r="B20" s="28" t="str">
        <x:v>Volumen simulado del producto i = MAX(0, Volumen base i x [1 + SUMPRODUCT(Elasticidades de i, Cambios de precio del portafolio)]). La aproximacion se restringe a variaciones de precio de hasta 20%.</x:v>
      </x:c>
      <x:c r="C20" s="28" t="str">
        <x:v>Volumen simulado del producto i = MAX(0, Volumen base i x [1 + SUMPRODUCT(Elasticidades de i, Cambios de precio del portafolio)]). La aproximacion se restringe a variaciones de precio de hasta 20%.</x:v>
      </x:c>
      <x:c r="D20" s="28" t="str">
        <x:v>Volumen simulado del producto i = MAX(0, Volumen base i x [1 + SUMPRODUCT(Elasticidades de i, Cambios de precio del portafolio)]). La aproximacion se restringe a variaciones de precio de hasta 20%.</x:v>
      </x:c>
      <x:c r="E20" s="28" t="str">
        <x:v>Volumen simulado del producto i = MAX(0, Volumen base i x [1 + SUMPRODUCT(Elasticidades de i, Cambios de precio del portafolio)]). La aproximacion se restringe a variaciones de precio de hasta 20%.</x:v>
      </x:c>
      <x:c r="F20" s="28" t="str">
        <x:v>Volumen simulado del producto i = MAX(0, Volumen base i x [1 + SUMPRODUCT(Elasticidades de i, Cambios de precio del portafolio)]). La aproximacion se restringe a variaciones de precio de hasta 20%.</x:v>
      </x:c>
      <x:c r="G20" s="28" t="str">
        <x:v>Volumen simulado del producto i = MAX(0, Volumen base i x [1 + SUMPRODUCT(Elasticidades de i, Cambios de precio del portafolio)]). La aproximacion se restringe a variaciones de precio de hasta 20%.</x:v>
      </x:c>
      <x:c r="H20" s="28" t="str">
        <x:v>Volumen simulado del producto i = MAX(0, Volumen base i x [1 + SUMPRODUCT(Elasticidades de i, Cambios de precio del portafolio)]). La aproximacion se restringe a variaciones de precio de hasta 20%.</x:v>
      </x:c>
    </x:row>
    <x:row r="22" ht="32" customHeight="1">
      <x:c r="A22" s="16" t="str">
        <x:v>Color</x:v>
      </x:c>
      <x:c r="B22" s="16" t="str">
        <x:v>Significado</x:v>
      </x:c>
      <x:c r="C22" s="16"/>
      <x:c r="D22" s="16"/>
    </x:row>
    <x:row r="23">
      <x:c r="A23" s="31" t="str">
        <x:v>Amarillo</x:v>
      </x:c>
      <x:c r="B23" s="32" t="str">
        <x:v>Entrada editable</x:v>
      </x:c>
      <x:c r="C23" s="32"/>
      <x:c r="D23" s="32"/>
    </x:row>
    <x:row r="24">
      <x:c r="A24" s="33" t="str">
        <x:v>Azul</x:v>
      </x:c>
      <x:c r="B24" s="32" t="str">
        <x:v>Resultado calculado</x:v>
      </x:c>
      <x:c r="C24" s="32"/>
      <x:c r="D24" s="32"/>
    </x:row>
    <x:row r="25">
      <x:c r="A25" s="34" t="str">
        <x:v>Verde / rojo</x:v>
      </x:c>
      <x:c r="B25" s="32" t="str">
        <x:v>Crea o destruye contribucion</x:v>
      </x:c>
      <x:c r="C25" s="32"/>
      <x:c r="D25" s="32"/>
    </x:row>
    <x:row r="27">
      <x:c r="A27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B27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C27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D27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E27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F27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G27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H27" s="36" t="str">
        <x:v>Nota metodologica: las elasticidades propias fueron estimadas sobre datos sinteticos mediante un modelo log-log. Las elasticidades cruzadas son supuestos ilustrativos y requieren recalibracion antes de cualquier uso real.</x:v>
      </x:c>
    </x:row>
    <x:row r="28">
      <x:c r="A28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B28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C28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D28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E28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F28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G28" s="36" t="str">
        <x:v>Nota metodologica: las elasticidades propias fueron estimadas sobre datos sinteticos mediante un modelo log-log. Las elasticidades cruzadas son supuestos ilustrativos y requieren recalibracion antes de cualquier uso real.</x:v>
      </x:c>
      <x:c r="H28" s="36" t="str">
        <x:v>Nota metodologica: las elasticidades propias fueron estimadas sobre datos sinteticos mediante un modelo log-log. Las elasticidades cruzadas son supuestos ilustrativos y requieren recalibracion antes de cualquier uso real.</x:v>
      </x:c>
    </x:row>
  </x:sheetData>
  <x:mergeCells>
    <x:mergeCell ref="A1:H2"/>
    <x:mergeCell ref="A3:H4"/>
    <x:mergeCell ref="A6:H6"/>
    <x:mergeCell ref="A7:H8"/>
    <x:mergeCell ref="A10:H10"/>
    <x:mergeCell ref="B11:H11"/>
    <x:mergeCell ref="B12:H12"/>
    <x:mergeCell ref="B13:H13"/>
    <x:mergeCell ref="B14:H14"/>
    <x:mergeCell ref="A17:H17"/>
    <x:mergeCell ref="A18:H20"/>
    <x:mergeCell ref="A22:D22"/>
    <x:mergeCell ref="B23:D23"/>
    <x:mergeCell ref="B24:D24"/>
    <x:mergeCell ref="B25:D25"/>
    <x:mergeCell ref="A27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7" hidden="0" customWidth="1"/>
  </x:cols>
  <x:sheetData>
    <x:row r="1" ht="32" customHeight="1">
      <x:c r="A1" s="3" t="str">
        <x:v>Supuestos del portafolio</x:v>
      </x:c>
      <x:c r="B1" s="3" t="str">
        <x:v>Supuestos del portafolio</x:v>
      </x:c>
      <x:c r="C1" s="3" t="str">
        <x:v>Supuestos del portafolio</x:v>
      </x:c>
      <x:c r="D1" s="3" t="str">
        <x:v>Supuestos del portafolio</x:v>
      </x:c>
      <x:c r="E1" s="3" t="str">
        <x:v>Supuestos del portafolio</x:v>
      </x:c>
      <x:c r="F1" s="3" t="str">
        <x:v>Supuestos del portafolio</x:v>
      </x:c>
      <x:c r="G1" s="3" t="str">
        <x:v>Supuestos del portafolio</x:v>
      </x:c>
      <x:c r="H1" s="3" t="str">
        <x:v>Supuestos del portafolio</x:v>
      </x:c>
      <x:c r="I1" s="3" t="str">
        <x:v>Supuestos del portafolio</x:v>
      </x:c>
      <x:c r="J1" s="3" t="str">
        <x:v>Supuestos del portafolio</x:v>
      </x:c>
    </x:row>
    <x:row r="2" ht="32" customHeight="1">
      <x:c r="A2" s="3" t="str">
        <x:v>Supuestos del portafolio</x:v>
      </x:c>
      <x:c r="B2" s="3" t="str">
        <x:v>Supuestos del portafolio</x:v>
      </x:c>
      <x:c r="C2" s="3" t="str">
        <x:v>Supuestos del portafolio</x:v>
      </x:c>
      <x:c r="D2" s="3" t="str">
        <x:v>Supuestos del portafolio</x:v>
      </x:c>
      <x:c r="E2" s="3" t="str">
        <x:v>Supuestos del portafolio</x:v>
      </x:c>
      <x:c r="F2" s="3" t="str">
        <x:v>Supuestos del portafolio</x:v>
      </x:c>
      <x:c r="G2" s="3" t="str">
        <x:v>Supuestos del portafolio</x:v>
      </x:c>
      <x:c r="H2" s="3" t="str">
        <x:v>Supuestos del portafolio</x:v>
      </x:c>
      <x:c r="I2" s="3" t="str">
        <x:v>Supuestos del portafolio</x:v>
      </x:c>
      <x:c r="J2" s="3" t="str">
        <x:v>Supuestos del portafolio</x:v>
      </x:c>
    </x:row>
    <x:row r="3" ht="30" customHeight="1">
      <x:c r="A3" s="7" t="str">
        <x:v>Las celdas amarillas son editables. Descuento positivo implica reduccion de precio.</x:v>
      </x:c>
      <x:c r="B3" s="7" t="str">
        <x:v>Las celdas amarillas son editables. Descuento positivo implica reduccion de precio.</x:v>
      </x:c>
      <x:c r="C3" s="7" t="str">
        <x:v>Las celdas amarillas son editables. Descuento positivo implica reduccion de precio.</x:v>
      </x:c>
      <x:c r="D3" s="7" t="str">
        <x:v>Las celdas amarillas son editables. Descuento positivo implica reduccion de precio.</x:v>
      </x:c>
      <x:c r="E3" s="7" t="str">
        <x:v>Las celdas amarillas son editables. Descuento positivo implica reduccion de precio.</x:v>
      </x:c>
      <x:c r="F3" s="7" t="str">
        <x:v>Las celdas amarillas son editables. Descuento positivo implica reduccion de precio.</x:v>
      </x:c>
      <x:c r="G3" s="7" t="str">
        <x:v>Las celdas amarillas son editables. Descuento positivo implica reduccion de precio.</x:v>
      </x:c>
      <x:c r="H3" s="7" t="str">
        <x:v>Las celdas amarillas son editables. Descuento positivo implica reduccion de precio.</x:v>
      </x:c>
      <x:c r="I3" s="7" t="str">
        <x:v>Las celdas amarillas son editables. Descuento positivo implica reduccion de precio.</x:v>
      </x:c>
      <x:c r="J3" s="7" t="str">
        <x:v>Las celdas amarillas son editables. Descuento positivo implica reduccion de precio.</x:v>
      </x:c>
    </x:row>
    <x:row r="4" ht="30" customHeight="1">
      <x:c r="A4" s="7" t="str">
        <x:v>Las celdas amarillas son editables. Descuento positivo implica reduccion de precio.</x:v>
      </x:c>
      <x:c r="B4" s="7" t="str">
        <x:v>Las celdas amarillas son editables. Descuento positivo implica reduccion de precio.</x:v>
      </x:c>
      <x:c r="C4" s="7" t="str">
        <x:v>Las celdas amarillas son editables. Descuento positivo implica reduccion de precio.</x:v>
      </x:c>
      <x:c r="D4" s="7" t="str">
        <x:v>Las celdas amarillas son editables. Descuento positivo implica reduccion de precio.</x:v>
      </x:c>
      <x:c r="E4" s="7" t="str">
        <x:v>Las celdas amarillas son editables. Descuento positivo implica reduccion de precio.</x:v>
      </x:c>
      <x:c r="F4" s="7" t="str">
        <x:v>Las celdas amarillas son editables. Descuento positivo implica reduccion de precio.</x:v>
      </x:c>
      <x:c r="G4" s="7" t="str">
        <x:v>Las celdas amarillas son editables. Descuento positivo implica reduccion de precio.</x:v>
      </x:c>
      <x:c r="H4" s="7" t="str">
        <x:v>Las celdas amarillas son editables. Descuento positivo implica reduccion de precio.</x:v>
      </x:c>
      <x:c r="I4" s="7" t="str">
        <x:v>Las celdas amarillas son editables. Descuento positivo implica reduccion de precio.</x:v>
      </x:c>
      <x:c r="J4" s="7" t="str">
        <x:v>Las celdas amarillas son editables. Descuento positivo implica reduccion de precio.</x:v>
      </x:c>
    </x:row>
    <x:row r="6" ht="32" customHeight="1">
      <x:c r="A6" s="16" t="str">
        <x:v>SKU</x:v>
      </x:c>
      <x:c r="B6" s="16" t="str">
        <x:v>Producto</x:v>
      </x:c>
      <x:c r="C6" s="16" t="str">
        <x:v>Precio base</x:v>
      </x:c>
      <x:c r="D6" s="16" t="str">
        <x:v>Costo unitario</x:v>
      </x:c>
      <x:c r="E6" s="16" t="str">
        <x:v>Volumen base semanal</x:v>
      </x:c>
      <x:c r="F6" s="16" t="str">
        <x:v>Elasticidad propia</x:v>
      </x:c>
      <x:c r="G6" s="16" t="str">
        <x:v>Descuento escenario</x:v>
      </x:c>
      <x:c r="H6" s="16" t="str">
        <x:v>Cambio de precio</x:v>
      </x:c>
      <x:c r="I6" s="16" t="str">
        <x:v>Precio simulado</x:v>
      </x:c>
      <x:c r="J6" s="16" t="str">
        <x:v>Fuente</x:v>
      </x:c>
    </x:row>
    <x:row r="7">
      <x:c r="A7" s="20" t="str">
        <x:v>CFCL-355</x:v>
      </x:c>
      <x:c r="B7" s="20" t="str">
        <x:v>Cafe Clasico</x:v>
      </x:c>
      <x:c r="C7" s="41" t="n">
        <x:v>37.359249999999996</x:v>
      </x:c>
      <x:c r="D7" s="41" t="n">
        <x:v>17.515</x:v>
      </x:c>
      <x:c r="E7" s="43" t="n">
        <x:v>877</x:v>
      </x:c>
      <x:c r="F7" s="45" t="n">
        <x:v>-1.096727141864895</x:v>
      </x:c>
      <x:c r="G7" s="47" t="n">
        <x:v>0.1</x:v>
      </x:c>
      <x:c r="H7" s="48" t="n">
        <x:f>-G7</x:f>
        <x:v>-0.1</x:v>
      </x:c>
      <x:c r="I7" s="51" t="n">
        <x:f>C7*(1-G7)</x:f>
        <x:v>33.623324999999994</x:v>
      </x:c>
      <x:c r="J7" s="20" t="str">
        <x:v>Datos sinteticos / modelo log-log</x:v>
      </x:c>
    </x:row>
    <x:row r="8">
      <x:c r="A8" s="21" t="str">
        <x:v>CFVN-355</x:v>
      </x:c>
      <x:c r="B8" s="21" t="str">
        <x:v>Cafe Vainilla</x:v>
      </x:c>
      <x:c r="C8" s="42" t="n">
        <x:v>40.620583333333336</x:v>
      </x:c>
      <x:c r="D8" s="42" t="n">
        <x:v>19.322499999999998</x:v>
      </x:c>
      <x:c r="E8" s="44" t="n">
        <x:v>644.25</x:v>
      </x:c>
      <x:c r="F8" s="46" t="n">
        <x:v>-1.1347540662705797</x:v>
      </x:c>
      <x:c r="G8" s="49" t="n">
        <x:v>0</x:v>
      </x:c>
      <x:c r="H8" s="50" t="n">
        <x:f>-G8</x:f>
        <x:v>0</x:v>
      </x:c>
      <x:c r="I8" s="52" t="n">
        <x:f>C8*(1-G8)</x:f>
        <x:v>40.620583333333336</x:v>
      </x:c>
      <x:c r="J8" s="21" t="str">
        <x:v>Datos sinteticos / modelo log-log</x:v>
      </x:c>
    </x:row>
    <x:row r="9">
      <x:c r="A9" s="21" t="str">
        <x:v>CFMO-355</x:v>
      </x:c>
      <x:c r="B9" s="21" t="str">
        <x:v>Cafe Moka</x:v>
      </x:c>
      <x:c r="C9" s="42" t="n">
        <x:v>42.70016666666667</x:v>
      </x:c>
      <x:c r="D9" s="42" t="n">
        <x:v>20.7025</x:v>
      </x:c>
      <x:c r="E9" s="44" t="n">
        <x:v>529.25</x:v>
      </x:c>
      <x:c r="F9" s="46" t="n">
        <x:v>-1.7414602822617617</x:v>
      </x:c>
      <x:c r="G9" s="49" t="n">
        <x:v>0</x:v>
      </x:c>
      <x:c r="H9" s="50" t="n">
        <x:f>-G9</x:f>
        <x:v>0</x:v>
      </x:c>
      <x:c r="I9" s="52" t="n">
        <x:f>C9*(1-G9)</x:f>
        <x:v>42.70016666666667</x:v>
      </x:c>
      <x:c r="J9" s="21" t="str">
        <x:v>Datos sinteticos / modelo log-log</x:v>
      </x:c>
    </x:row>
    <x:row r="10">
      <x:c r="A10" s="21" t="str">
        <x:v>TELM-500</x:v>
      </x:c>
      <x:c r="B10" s="21" t="str">
        <x:v>Te Limon</x:v>
      </x:c>
      <x:c r="C10" s="42" t="n">
        <x:v>29.867395833333333</x:v>
      </x:c>
      <x:c r="D10" s="42" t="n">
        <x:v>13.27125</x:v>
      </x:c>
      <x:c r="E10" s="44" t="n">
        <x:v>820.625</x:v>
      </x:c>
      <x:c r="F10" s="46" t="n">
        <x:v>-0.7380203197985437</x:v>
      </x:c>
      <x:c r="G10" s="49" t="n">
        <x:v>0</x:v>
      </x:c>
      <x:c r="H10" s="50" t="n">
        <x:f>-G10</x:f>
        <x:v>0</x:v>
      </x:c>
      <x:c r="I10" s="52" t="n">
        <x:f>C10*(1-G10)</x:f>
        <x:v>29.867395833333333</x:v>
      </x:c>
      <x:c r="J10" s="21" t="str">
        <x:v>Datos sinteticos / modelo log-log</x:v>
      </x:c>
    </x:row>
    <x:row r="11">
      <x:c r="A11" s="21" t="str">
        <x:v>FRTR-500</x:v>
      </x:c>
      <x:c r="B11" s="21" t="str">
        <x:v>Bebida Frutal</x:v>
      </x:c>
      <x:c r="C11" s="42" t="n">
        <x:v>32.068895833333336</x:v>
      </x:c>
      <x:c r="D11" s="42" t="n">
        <x:v>14.651250000000001</x:v>
      </x:c>
      <x:c r="E11" s="44" t="n">
        <x:v>732.625</x:v>
      </x:c>
      <x:c r="F11" s="46" t="n">
        <x:v>-0.9368512160694873</x:v>
      </x:c>
      <x:c r="G11" s="49" t="n">
        <x:v>0</x:v>
      </x:c>
      <x:c r="H11" s="50" t="n">
        <x:f>-G11</x:f>
        <x:v>0</x:v>
      </x:c>
      <x:c r="I11" s="52" t="n">
        <x:f>C11*(1-G11)</x:f>
        <x:v>32.068895833333336</x:v>
      </x:c>
      <x:c r="J11" s="21" t="str">
        <x:v>Datos sinteticos / modelo log-log</x:v>
      </x:c>
    </x:row>
    <x:row r="12">
      <x:c r="A12" s="21" t="str">
        <x:v>ENRG-473</x:v>
      </x:c>
      <x:c r="B12" s="21" t="str">
        <x:v>Energetica</x:v>
      </x:c>
      <x:c r="C12" s="42" t="n">
        <x:v>48.072937499999995</x:v>
      </x:c>
      <x:c r="D12" s="42" t="n">
        <x:v>24.41875</x:v>
      </x:c>
      <x:c r="E12" s="44" t="n">
        <x:v>490.375</x:v>
      </x:c>
      <x:c r="F12" s="46" t="n">
        <x:v>-0.7034201764922716</x:v>
      </x:c>
      <x:c r="G12" s="49" t="n">
        <x:v>0</x:v>
      </x:c>
      <x:c r="H12" s="50" t="n">
        <x:f>-G12</x:f>
        <x:v>0</x:v>
      </x:c>
      <x:c r="I12" s="52" t="n">
        <x:f>C12*(1-G12)</x:f>
        <x:v>48.072937499999995</x:v>
      </x:c>
      <x:c r="J12" s="21" t="str">
        <x:v>Datos sinteticos / modelo log-log</x:v>
      </x:c>
    </x:row>
    <x:row r="14">
      <x:c r="A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B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C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D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E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F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G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H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I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J14" s="6" t="str">
        <x:v>Control de alcance: el modelo es una aproximacion local. Si se requieren descuentos mayores a 20%, cambios simultaneos agresivos o productos nuevos, debe utilizarse una especificacion no lineal y recalibrar las elasticidades.</x:v>
      </x:c>
    </x:row>
    <x:row r="15">
      <x:c r="A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B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C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D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E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F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G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H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I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J15" s="6" t="str">
        <x:v>Control de alcance: el modelo es una aproximacion local. Si se requieren descuentos mayores a 20%, cambios simultaneos agresivos o productos nuevos, debe utilizarse una especificacion no lineal y recalibrar las elasticidades.</x:v>
      </x:c>
    </x:row>
    <x:row r="16">
      <x:c r="A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B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C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D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E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F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G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H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I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  <x:c r="J16" s="6" t="str">
        <x:v>Control de alcance: el modelo es una aproximacion local. Si se requieren descuentos mayores a 20%, cambios simultaneos agresivos o productos nuevos, debe utilizarse una especificacion no lineal y recalibrar las elasticidades.</x:v>
      </x:c>
    </x:row>
  </x:sheetData>
  <x:mergeCells>
    <x:mergeCell ref="A1:J2"/>
    <x:mergeCell ref="A3:J4"/>
    <x:mergeCell ref="A14:J16"/>
  </x:mergeCells>
  <x:dataValidations count="1">
    <x:dataValidation type="decimal" operator="between" sqref="G7:G12">
      <x:formula1>0</x:formula1>
      <x:formula2>0.2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3" t="str">
        <x:v>Matriz de elasticidades propias y cruzadas</x:v>
      </x:c>
      <x:c r="B1" s="3" t="str">
        <x:v>Matriz de elasticidades propias y cruzadas</x:v>
      </x:c>
      <x:c r="C1" s="3" t="str">
        <x:v>Matriz de elasticidades propias y cruzadas</x:v>
      </x:c>
      <x:c r="D1" s="3" t="str">
        <x:v>Matriz de elasticidades propias y cruzadas</x:v>
      </x:c>
      <x:c r="E1" s="3" t="str">
        <x:v>Matriz de elasticidades propias y cruzadas</x:v>
      </x:c>
      <x:c r="F1" s="3" t="str">
        <x:v>Matriz de elasticidades propias y cruzadas</x:v>
      </x:c>
      <x:c r="G1" s="3" t="str">
        <x:v>Matriz de elasticidades propias y cruzadas</x:v>
      </x:c>
    </x:row>
    <x:row r="2" ht="32" customHeight="1">
      <x:c r="A2" s="3" t="str">
        <x:v>Matriz de elasticidades propias y cruzadas</x:v>
      </x:c>
      <x:c r="B2" s="3" t="str">
        <x:v>Matriz de elasticidades propias y cruzadas</x:v>
      </x:c>
      <x:c r="C2" s="3" t="str">
        <x:v>Matriz de elasticidades propias y cruzadas</x:v>
      </x:c>
      <x:c r="D2" s="3" t="str">
        <x:v>Matriz de elasticidades propias y cruzadas</x:v>
      </x:c>
      <x:c r="E2" s="3" t="str">
        <x:v>Matriz de elasticidades propias y cruzadas</x:v>
      </x:c>
      <x:c r="F2" s="3" t="str">
        <x:v>Matriz de elasticidades propias y cruzadas</x:v>
      </x:c>
      <x:c r="G2" s="3" t="str">
        <x:v>Matriz de elasticidades propias y cruzadas</x:v>
      </x:c>
    </x:row>
    <x:row r="3" ht="30" customHeight="1">
      <x:c r="A3" s="7" t="str">
        <x:v>Diagonal: sensibilidad del propio producto. Fuera de diagonal: efecto de precio de la columna sobre demanda de la fila.</x:v>
      </x:c>
      <x:c r="B3" s="7" t="str">
        <x:v>Diagonal: sensibilidad del propio producto. Fuera de diagonal: efecto de precio de la columna sobre demanda de la fila.</x:v>
      </x:c>
      <x:c r="C3" s="7" t="str">
        <x:v>Diagonal: sensibilidad del propio producto. Fuera de diagonal: efecto de precio de la columna sobre demanda de la fila.</x:v>
      </x:c>
      <x:c r="D3" s="7" t="str">
        <x:v>Diagonal: sensibilidad del propio producto. Fuera de diagonal: efecto de precio de la columna sobre demanda de la fila.</x:v>
      </x:c>
      <x:c r="E3" s="7" t="str">
        <x:v>Diagonal: sensibilidad del propio producto. Fuera de diagonal: efecto de precio de la columna sobre demanda de la fila.</x:v>
      </x:c>
      <x:c r="F3" s="7" t="str">
        <x:v>Diagonal: sensibilidad del propio producto. Fuera de diagonal: efecto de precio de la columna sobre demanda de la fila.</x:v>
      </x:c>
      <x:c r="G3" s="7" t="str">
        <x:v>Diagonal: sensibilidad del propio producto. Fuera de diagonal: efecto de precio de la columna sobre demanda de la fila.</x:v>
      </x:c>
    </x:row>
    <x:row r="4" ht="30" customHeight="1">
      <x:c r="A4" s="7" t="str">
        <x:v>Diagonal: sensibilidad del propio producto. Fuera de diagonal: efecto de precio de la columna sobre demanda de la fila.</x:v>
      </x:c>
      <x:c r="B4" s="7" t="str">
        <x:v>Diagonal: sensibilidad del propio producto. Fuera de diagonal: efecto de precio de la columna sobre demanda de la fila.</x:v>
      </x:c>
      <x:c r="C4" s="7" t="str">
        <x:v>Diagonal: sensibilidad del propio producto. Fuera de diagonal: efecto de precio de la columna sobre demanda de la fila.</x:v>
      </x:c>
      <x:c r="D4" s="7" t="str">
        <x:v>Diagonal: sensibilidad del propio producto. Fuera de diagonal: efecto de precio de la columna sobre demanda de la fila.</x:v>
      </x:c>
      <x:c r="E4" s="7" t="str">
        <x:v>Diagonal: sensibilidad del propio producto. Fuera de diagonal: efecto de precio de la columna sobre demanda de la fila.</x:v>
      </x:c>
      <x:c r="F4" s="7" t="str">
        <x:v>Diagonal: sensibilidad del propio producto. Fuera de diagonal: efecto de precio de la columna sobre demanda de la fila.</x:v>
      </x:c>
      <x:c r="G4" s="7" t="str">
        <x:v>Diagonal: sensibilidad del propio producto. Fuera de diagonal: efecto de precio de la columna sobre demanda de la fila.</x:v>
      </x:c>
    </x:row>
    <x:row r="6" ht="32" customHeight="1">
      <x:c r="A6" s="16" t="str">
        <x:v>Demanda / precio de</x:v>
      </x:c>
      <x:c r="B6" s="16" t="str">
        <x:v>Cafe Clasico</x:v>
      </x:c>
      <x:c r="C6" s="16" t="str">
        <x:v>Cafe Vainilla</x:v>
      </x:c>
      <x:c r="D6" s="16" t="str">
        <x:v>Cafe Moka</x:v>
      </x:c>
      <x:c r="E6" s="16" t="str">
        <x:v>Te Limon</x:v>
      </x:c>
      <x:c r="F6" s="16" t="str">
        <x:v>Bebida Frutal</x:v>
      </x:c>
      <x:c r="G6" s="16" t="str">
        <x:v>Energetica</x:v>
      </x:c>
    </x:row>
    <x:row r="7">
      <x:c r="A7" s="20" t="str">
        <x:v>Cafe Clasico</x:v>
      </x:c>
      <x:c r="B7" s="58" t="n">
        <x:v>-1.096727141864895</x:v>
      </x:c>
      <x:c r="C7" s="55" t="n">
        <x:v>0.18</x:v>
      </x:c>
      <x:c r="D7" s="55" t="n">
        <x:v>0.1</x:v>
      </x:c>
      <x:c r="E7" s="55" t="n">
        <x:v>0</x:v>
      </x:c>
      <x:c r="F7" s="55" t="n">
        <x:v>0</x:v>
      </x:c>
      <x:c r="G7" s="55" t="n">
        <x:v>0</x:v>
      </x:c>
    </x:row>
    <x:row r="8">
      <x:c r="A8" s="21" t="str">
        <x:v>Cafe Vainilla</x:v>
      </x:c>
      <x:c r="B8" s="56" t="n">
        <x:v>0.18</x:v>
      </x:c>
      <x:c r="C8" s="60" t="n">
        <x:v>-1.1347540662705797</x:v>
      </x:c>
      <x:c r="D8" s="56" t="n">
        <x:v>0.18</x:v>
      </x:c>
      <x:c r="E8" s="56" t="n">
        <x:v>0</x:v>
      </x:c>
      <x:c r="F8" s="56" t="n">
        <x:v>0</x:v>
      </x:c>
      <x:c r="G8" s="56" t="n">
        <x:v>0</x:v>
      </x:c>
    </x:row>
    <x:row r="9">
      <x:c r="A9" s="21" t="str">
        <x:v>Cafe Moka</x:v>
      </x:c>
      <x:c r="B9" s="56" t="n">
        <x:v>0.1</x:v>
      </x:c>
      <x:c r="C9" s="56" t="n">
        <x:v>0.18</x:v>
      </x:c>
      <x:c r="D9" s="60" t="n">
        <x:v>-1.7414602822617617</x:v>
      </x:c>
      <x:c r="E9" s="56" t="n">
        <x:v>0</x:v>
      </x:c>
      <x:c r="F9" s="56" t="n">
        <x:v>0</x:v>
      </x:c>
      <x:c r="G9" s="56" t="n">
        <x:v>0</x:v>
      </x:c>
    </x:row>
    <x:row r="10">
      <x:c r="A10" s="21" t="str">
        <x:v>Te Limon</x:v>
      </x:c>
      <x:c r="B10" s="56" t="n">
        <x:v>0</x:v>
      </x:c>
      <x:c r="C10" s="56" t="n">
        <x:v>0</x:v>
      </x:c>
      <x:c r="D10" s="56" t="n">
        <x:v>0</x:v>
      </x:c>
      <x:c r="E10" s="60" t="n">
        <x:v>-0.7380203197985437</x:v>
      </x:c>
      <x:c r="F10" s="56" t="n">
        <x:v>0.14</x:v>
      </x:c>
      <x:c r="G10" s="56" t="n">
        <x:v>0</x:v>
      </x:c>
    </x:row>
    <x:row r="11">
      <x:c r="A11" s="21" t="str">
        <x:v>Bebida Frutal</x:v>
      </x:c>
      <x:c r="B11" s="56" t="n">
        <x:v>0</x:v>
      </x:c>
      <x:c r="C11" s="56" t="n">
        <x:v>0</x:v>
      </x:c>
      <x:c r="D11" s="56" t="n">
        <x:v>0</x:v>
      </x:c>
      <x:c r="E11" s="56" t="n">
        <x:v>0.14</x:v>
      </x:c>
      <x:c r="F11" s="60" t="n">
        <x:v>-0.9368512160694873</x:v>
      </x:c>
      <x:c r="G11" s="56" t="n">
        <x:v>0.05</x:v>
      </x:c>
    </x:row>
    <x:row r="12">
      <x:c r="A12" s="21" t="str">
        <x:v>Energetica</x:v>
      </x:c>
      <x:c r="B12" s="56" t="n">
        <x:v>0</x:v>
      </x:c>
      <x:c r="C12" s="56" t="n">
        <x:v>0</x:v>
      </x:c>
      <x:c r="D12" s="56" t="n">
        <x:v>0</x:v>
      </x:c>
      <x:c r="E12" s="56" t="n">
        <x:v>0</x:v>
      </x:c>
      <x:c r="F12" s="56" t="n">
        <x:v>0.05</x:v>
      </x:c>
      <x:c r="G12" s="60" t="n">
        <x:v>-0.7034201764922716</x:v>
      </x:c>
    </x:row>
    <x:row r="14">
      <x:c r="A14" s="61" t="str">
        <x:v>Cambio de precio</x:v>
      </x:c>
      <x:c r="B14" s="64" t="n">
        <x:f>'Supuestos'!H7</x:f>
        <x:v>-0.1</x:v>
      </x:c>
      <x:c r="C14" s="64" t="n">
        <x:f>'Supuestos'!H8</x:f>
        <x:v>0</x:v>
      </x:c>
      <x:c r="D14" s="64" t="n">
        <x:f>'Supuestos'!H9</x:f>
        <x:v>0</x:v>
      </x:c>
      <x:c r="E14" s="64" t="n">
        <x:f>'Supuestos'!H10</x:f>
        <x:v>0</x:v>
      </x:c>
      <x:c r="F14" s="64" t="n">
        <x:f>'Supuestos'!H11</x:f>
        <x:v>0</x:v>
      </x:c>
      <x:c r="G14" s="64" t="n">
        <x:f>'Supuestos'!H12</x:f>
        <x:v>0</x:v>
      </x:c>
    </x:row>
    <x:row r="16">
      <x:c r="A16" s="66" t="str">
        <x:v>Interpretacion: una elasticidad propia de -1.50 implica que una reduccion de precio de 10% se asocia, aproximadamente, con un aumento de volumen de 15%. Una elasticidad cruzada positiva indica sustitucion.</x:v>
      </x:c>
      <x:c r="B16" s="66" t="str">
        <x:v>Interpretacion: una elasticidad propia de -1.50 implica que una reduccion de precio de 10% se asocia, aproximadamente, con un aumento de volumen de 15%. Una elasticidad cruzada positiva indica sustitucion.</x:v>
      </x:c>
      <x:c r="C16" s="66" t="str">
        <x:v>Interpretacion: una elasticidad propia de -1.50 implica que una reduccion de precio de 10% se asocia, aproximadamente, con un aumento de volumen de 15%. Una elasticidad cruzada positiva indica sustitucion.</x:v>
      </x:c>
      <x:c r="D16" s="66" t="str">
        <x:v>Interpretacion: una elasticidad propia de -1.50 implica que una reduccion de precio de 10% se asocia, aproximadamente, con un aumento de volumen de 15%. Una elasticidad cruzada positiva indica sustitucion.</x:v>
      </x:c>
      <x:c r="E16" s="66" t="str">
        <x:v>Interpretacion: una elasticidad propia de -1.50 implica que una reduccion de precio de 10% se asocia, aproximadamente, con un aumento de volumen de 15%. Una elasticidad cruzada positiva indica sustitucion.</x:v>
      </x:c>
      <x:c r="F16" s="66" t="str">
        <x:v>Interpretacion: una elasticidad propia de -1.50 implica que una reduccion de precio de 10% se asocia, aproximadamente, con un aumento de volumen de 15%. Una elasticidad cruzada positiva indica sustitucion.</x:v>
      </x:c>
      <x:c r="G16" s="66" t="str">
        <x:v>Interpretacion: una elasticidad propia de -1.50 implica que una reduccion de precio de 10% se asocia, aproximadamente, con un aumento de volumen de 15%. Una elasticidad cruzada positiva indica sustitucion.</x:v>
      </x:c>
    </x:row>
    <x:row r="17">
      <x:c r="A17" s="66" t="str">
        <x:v>Interpretacion: una elasticidad propia de -1.50 implica que una reduccion de precio de 10% se asocia, aproximadamente, con un aumento de volumen de 15%. Una elasticidad cruzada positiva indica sustitucion.</x:v>
      </x:c>
      <x:c r="B17" s="66" t="str">
        <x:v>Interpretacion: una elasticidad propia de -1.50 implica que una reduccion de precio de 10% se asocia, aproximadamente, con un aumento de volumen de 15%. Una elasticidad cruzada positiva indica sustitucion.</x:v>
      </x:c>
      <x:c r="C17" s="66" t="str">
        <x:v>Interpretacion: una elasticidad propia de -1.50 implica que una reduccion de precio de 10% se asocia, aproximadamente, con un aumento de volumen de 15%. Una elasticidad cruzada positiva indica sustitucion.</x:v>
      </x:c>
      <x:c r="D17" s="66" t="str">
        <x:v>Interpretacion: una elasticidad propia de -1.50 implica que una reduccion de precio de 10% se asocia, aproximadamente, con un aumento de volumen de 15%. Una elasticidad cruzada positiva indica sustitucion.</x:v>
      </x:c>
      <x:c r="E17" s="66" t="str">
        <x:v>Interpretacion: una elasticidad propia de -1.50 implica que una reduccion de precio de 10% se asocia, aproximadamente, con un aumento de volumen de 15%. Una elasticidad cruzada positiva indica sustitucion.</x:v>
      </x:c>
      <x:c r="F17" s="66" t="str">
        <x:v>Interpretacion: una elasticidad propia de -1.50 implica que una reduccion de precio de 10% se asocia, aproximadamente, con un aumento de volumen de 15%. Una elasticidad cruzada positiva indica sustitucion.</x:v>
      </x:c>
      <x:c r="G17" s="66" t="str">
        <x:v>Interpretacion: una elasticidad propia de -1.50 implica que una reduccion de precio de 10% se asocia, aproximadamente, con un aumento de volumen de 15%. Una elasticidad cruzada positiva indica sustitucion.</x:v>
      </x:c>
    </x:row>
    <x:row r="18">
      <x:c r="A18" s="66" t="str">
        <x:v>Interpretacion: una elasticidad propia de -1.50 implica que una reduccion de precio de 10% se asocia, aproximadamente, con un aumento de volumen de 15%. Una elasticidad cruzada positiva indica sustitucion.</x:v>
      </x:c>
      <x:c r="B18" s="66" t="str">
        <x:v>Interpretacion: una elasticidad propia de -1.50 implica que una reduccion de precio de 10% se asocia, aproximadamente, con un aumento de volumen de 15%. Una elasticidad cruzada positiva indica sustitucion.</x:v>
      </x:c>
      <x:c r="C18" s="66" t="str">
        <x:v>Interpretacion: una elasticidad propia de -1.50 implica que una reduccion de precio de 10% se asocia, aproximadamente, con un aumento de volumen de 15%. Una elasticidad cruzada positiva indica sustitucion.</x:v>
      </x:c>
      <x:c r="D18" s="66" t="str">
        <x:v>Interpretacion: una elasticidad propia de -1.50 implica que una reduccion de precio de 10% se asocia, aproximadamente, con un aumento de volumen de 15%. Una elasticidad cruzada positiva indica sustitucion.</x:v>
      </x:c>
      <x:c r="E18" s="66" t="str">
        <x:v>Interpretacion: una elasticidad propia de -1.50 implica que una reduccion de precio de 10% se asocia, aproximadamente, con un aumento de volumen de 15%. Una elasticidad cruzada positiva indica sustitucion.</x:v>
      </x:c>
      <x:c r="F18" s="66" t="str">
        <x:v>Interpretacion: una elasticidad propia de -1.50 implica que una reduccion de precio de 10% se asocia, aproximadamente, con un aumento de volumen de 15%. Una elasticidad cruzada positiva indica sustitucion.</x:v>
      </x:c>
      <x:c r="G18" s="66" t="str">
        <x:v>Interpretacion: una elasticidad propia de -1.50 implica que una reduccion de precio de 10% se asocia, aproximadamente, con un aumento de volumen de 15%. Una elasticidad cruzada positiva indica sustitucion.</x:v>
      </x:c>
    </x:row>
  </x:sheetData>
  <x:mergeCells>
    <x:mergeCell ref="A1:G2"/>
    <x:mergeCell ref="A3:G4"/>
    <x:mergeCell ref="A16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0" hidden="0" customWidth="1"/>
  </x:cols>
  <x:sheetData>
    <x:row r="1" ht="32" customHeight="1">
      <x:c r="A1" s="3" t="str">
        <x:v>Simulador de precios y contribucion</x:v>
      </x:c>
      <x:c r="B1" s="3" t="str">
        <x:v>Simulador de precios y contribucion</x:v>
      </x:c>
      <x:c r="C1" s="3" t="str">
        <x:v>Simulador de precios y contribucion</x:v>
      </x:c>
      <x:c r="D1" s="3" t="str">
        <x:v>Simulador de precios y contribucion</x:v>
      </x:c>
      <x:c r="E1" s="3" t="str">
        <x:v>Simulador de precios y contribucion</x:v>
      </x:c>
      <x:c r="F1" s="3" t="str">
        <x:v>Simulador de precios y contribucion</x:v>
      </x:c>
      <x:c r="G1" s="3" t="str">
        <x:v>Simulador de precios y contribucion</x:v>
      </x:c>
      <x:c r="H1" s="3" t="str">
        <x:v>Simulador de precios y contribucion</x:v>
      </x:c>
      <x:c r="I1" s="3" t="str">
        <x:v>Simulador de precios y contribucion</x:v>
      </x:c>
      <x:c r="J1" s="3" t="str">
        <x:v>Simulador de precios y contribucion</x:v>
      </x:c>
      <x:c r="K1" s="3" t="str">
        <x:v>Simulador de precios y contribucion</x:v>
      </x:c>
      <x:c r="L1" s="3" t="str">
        <x:v>Simulador de precios y contribucion</x:v>
      </x:c>
      <x:c r="M1" s="3" t="str">
        <x:v>Simulador de precios y contribucion</x:v>
      </x:c>
      <x:c r="N1" s="3" t="str">
        <x:v>Simulador de precios y contribucion</x:v>
      </x:c>
    </x:row>
    <x:row r="2" ht="32" customHeight="1">
      <x:c r="A2" s="3" t="str">
        <x:v>Simulador de precios y contribucion</x:v>
      </x:c>
      <x:c r="B2" s="3" t="str">
        <x:v>Simulador de precios y contribucion</x:v>
      </x:c>
      <x:c r="C2" s="3" t="str">
        <x:v>Simulador de precios y contribucion</x:v>
      </x:c>
      <x:c r="D2" s="3" t="str">
        <x:v>Simulador de precios y contribucion</x:v>
      </x:c>
      <x:c r="E2" s="3" t="str">
        <x:v>Simulador de precios y contribucion</x:v>
      </x:c>
      <x:c r="F2" s="3" t="str">
        <x:v>Simulador de precios y contribucion</x:v>
      </x:c>
      <x:c r="G2" s="3" t="str">
        <x:v>Simulador de precios y contribucion</x:v>
      </x:c>
      <x:c r="H2" s="3" t="str">
        <x:v>Simulador de precios y contribucion</x:v>
      </x:c>
      <x:c r="I2" s="3" t="str">
        <x:v>Simulador de precios y contribucion</x:v>
      </x:c>
      <x:c r="J2" s="3" t="str">
        <x:v>Simulador de precios y contribucion</x:v>
      </x:c>
      <x:c r="K2" s="3" t="str">
        <x:v>Simulador de precios y contribucion</x:v>
      </x:c>
      <x:c r="L2" s="3" t="str">
        <x:v>Simulador de precios y contribucion</x:v>
      </x:c>
      <x:c r="M2" s="3" t="str">
        <x:v>Simulador de precios y contribucion</x:v>
      </x:c>
      <x:c r="N2" s="3" t="str">
        <x:v>Simulador de precios y contribucion</x:v>
      </x:c>
    </x:row>
    <x:row r="3" ht="30" customHeight="1">
      <x:c r="A3" s="7" t="str">
        <x:v>El resultado se evalua a nivel portafolio: el crecimiento de un SKU puede canibalizar otros productos.</x:v>
      </x:c>
      <x:c r="B3" s="7" t="str">
        <x:v>El resultado se evalua a nivel portafolio: el crecimiento de un SKU puede canibalizar otros productos.</x:v>
      </x:c>
      <x:c r="C3" s="7" t="str">
        <x:v>El resultado se evalua a nivel portafolio: el crecimiento de un SKU puede canibalizar otros productos.</x:v>
      </x:c>
      <x:c r="D3" s="7" t="str">
        <x:v>El resultado se evalua a nivel portafolio: el crecimiento de un SKU puede canibalizar otros productos.</x:v>
      </x:c>
      <x:c r="E3" s="7" t="str">
        <x:v>El resultado se evalua a nivel portafolio: el crecimiento de un SKU puede canibalizar otros productos.</x:v>
      </x:c>
      <x:c r="F3" s="7" t="str">
        <x:v>El resultado se evalua a nivel portafolio: el crecimiento de un SKU puede canibalizar otros productos.</x:v>
      </x:c>
      <x:c r="G3" s="7" t="str">
        <x:v>El resultado se evalua a nivel portafolio: el crecimiento de un SKU puede canibalizar otros productos.</x:v>
      </x:c>
      <x:c r="H3" s="7" t="str">
        <x:v>El resultado se evalua a nivel portafolio: el crecimiento de un SKU puede canibalizar otros productos.</x:v>
      </x:c>
      <x:c r="I3" s="7" t="str">
        <x:v>El resultado se evalua a nivel portafolio: el crecimiento de un SKU puede canibalizar otros productos.</x:v>
      </x:c>
      <x:c r="J3" s="7" t="str">
        <x:v>El resultado se evalua a nivel portafolio: el crecimiento de un SKU puede canibalizar otros productos.</x:v>
      </x:c>
      <x:c r="K3" s="7" t="str">
        <x:v>El resultado se evalua a nivel portafolio: el crecimiento de un SKU puede canibalizar otros productos.</x:v>
      </x:c>
      <x:c r="L3" s="7" t="str">
        <x:v>El resultado se evalua a nivel portafolio: el crecimiento de un SKU puede canibalizar otros productos.</x:v>
      </x:c>
      <x:c r="M3" s="7" t="str">
        <x:v>El resultado se evalua a nivel portafolio: el crecimiento de un SKU puede canibalizar otros productos.</x:v>
      </x:c>
      <x:c r="N3" s="7" t="str">
        <x:v>El resultado se evalua a nivel portafolio: el crecimiento de un SKU puede canibalizar otros productos.</x:v>
      </x:c>
    </x:row>
    <x:row r="4" ht="30" customHeight="1">
      <x:c r="A4" s="7" t="str">
        <x:v>El resultado se evalua a nivel portafolio: el crecimiento de un SKU puede canibalizar otros productos.</x:v>
      </x:c>
      <x:c r="B4" s="7" t="str">
        <x:v>El resultado se evalua a nivel portafolio: el crecimiento de un SKU puede canibalizar otros productos.</x:v>
      </x:c>
      <x:c r="C4" s="7" t="str">
        <x:v>El resultado se evalua a nivel portafolio: el crecimiento de un SKU puede canibalizar otros productos.</x:v>
      </x:c>
      <x:c r="D4" s="7" t="str">
        <x:v>El resultado se evalua a nivel portafolio: el crecimiento de un SKU puede canibalizar otros productos.</x:v>
      </x:c>
      <x:c r="E4" s="7" t="str">
        <x:v>El resultado se evalua a nivel portafolio: el crecimiento de un SKU puede canibalizar otros productos.</x:v>
      </x:c>
      <x:c r="F4" s="7" t="str">
        <x:v>El resultado se evalua a nivel portafolio: el crecimiento de un SKU puede canibalizar otros productos.</x:v>
      </x:c>
      <x:c r="G4" s="7" t="str">
        <x:v>El resultado se evalua a nivel portafolio: el crecimiento de un SKU puede canibalizar otros productos.</x:v>
      </x:c>
      <x:c r="H4" s="7" t="str">
        <x:v>El resultado se evalua a nivel portafolio: el crecimiento de un SKU puede canibalizar otros productos.</x:v>
      </x:c>
      <x:c r="I4" s="7" t="str">
        <x:v>El resultado se evalua a nivel portafolio: el crecimiento de un SKU puede canibalizar otros productos.</x:v>
      </x:c>
      <x:c r="J4" s="7" t="str">
        <x:v>El resultado se evalua a nivel portafolio: el crecimiento de un SKU puede canibalizar otros productos.</x:v>
      </x:c>
      <x:c r="K4" s="7" t="str">
        <x:v>El resultado se evalua a nivel portafolio: el crecimiento de un SKU puede canibalizar otros productos.</x:v>
      </x:c>
      <x:c r="L4" s="7" t="str">
        <x:v>El resultado se evalua a nivel portafolio: el crecimiento de un SKU puede canibalizar otros productos.</x:v>
      </x:c>
      <x:c r="M4" s="7" t="str">
        <x:v>El resultado se evalua a nivel portafolio: el crecimiento de un SKU puede canibalizar otros productos.</x:v>
      </x:c>
      <x:c r="N4" s="7" t="str">
        <x:v>El resultado se evalua a nivel portafolio: el crecimiento de un SKU puede canibalizar otros productos.</x:v>
      </x:c>
    </x:row>
    <x:row r="6">
      <x:c r="A6" s="69" t="str">
        <x:v>Volumen simulado</x:v>
      </x:c>
      <x:c r="B6" s="69" t="str">
        <x:v>Volumen simulado</x:v>
      </x:c>
      <x:c r="C6" s="69" t="str">
        <x:v>Volumen simulado</x:v>
      </x:c>
      <x:c r="D6" s="69" t="str">
        <x:v>Ingreso incremental</x:v>
      </x:c>
      <x:c r="E6" s="69" t="str">
        <x:v>Ingreso incremental</x:v>
      </x:c>
      <x:c r="F6" s="69" t="str">
        <x:v>Ingreso incremental</x:v>
      </x:c>
      <x:c r="G6" s="117" t="str">
        <x:v>Contribucion incremental</x:v>
      </x:c>
      <x:c r="H6" s="117" t="str">
        <x:v>Contribucion incremental</x:v>
      </x:c>
      <x:c r="I6" s="117" t="str">
        <x:v>Contribucion incremental</x:v>
      </x:c>
      <x:c r="J6" s="117" t="str">
        <x:v>Cambio contribucion</x:v>
      </x:c>
      <x:c r="K6" s="117" t="str">
        <x:v>Cambio contribucion</x:v>
      </x:c>
      <x:c r="L6" s="117" t="str">
        <x:v>Cambio contribucion</x:v>
      </x:c>
      <x:c r="M6" s="139" t="str">
        <x:v>Margen simulado</x:v>
      </x:c>
      <x:c r="N6" s="139" t="str">
        <x:v>Margen simulado</x:v>
      </x:c>
    </x:row>
    <x:row r="7">
      <x:c r="A7" s="90" t="n">
        <x:f>SUM(G12:G17)</x:f>
        <x:v>4173.418970341551</x:v>
      </x:c>
      <x:c r="B7" s="91"/>
      <x:c r="C7" s="92"/>
      <x:c r="D7" s="108" t="n">
        <x:f>SUM(J12:J17)-SUM(I12:I17)</x:f>
        <x:v>-739.4621804490162</x:v>
      </x:c>
      <x:c r="E7" s="109"/>
      <x:c r="F7" s="110"/>
      <x:c r="G7" s="108" t="n">
        <x:f>SUM(L12:L17)-SUM(K12:K17)</x:f>
        <x:v>-2090.4655534812628</x:v>
      </x:c>
      <x:c r="H7" s="109"/>
      <x:c r="I7" s="110"/>
      <x:c r="J7" s="130" t="n">
        <x:f>SUM(L12:L17)/SUM(K12:K17)-1</x:f>
        <x:v>-0.025889336737129676</x:v>
      </x:c>
      <x:c r="K7" s="131"/>
      <x:c r="L7" s="132"/>
      <x:c r="M7" s="130" t="n">
        <x:f>SUM(L12:L17)/SUM(J12:J17)</x:f>
        <x:v>0.5162097771648602</x:v>
      </x:c>
      <x:c r="N7" s="132"/>
    </x:row>
    <x:row r="8">
      <x:c r="A8" s="93"/>
      <x:c r="B8" s="94"/>
      <x:c r="C8" s="95"/>
      <x:c r="D8" s="111"/>
      <x:c r="E8" s="112"/>
      <x:c r="F8" s="113"/>
      <x:c r="G8" s="111"/>
      <x:c r="H8" s="112"/>
      <x:c r="I8" s="113"/>
      <x:c r="J8" s="133"/>
      <x:c r="K8" s="134"/>
      <x:c r="L8" s="135"/>
      <x:c r="M8" s="133"/>
      <x:c r="N8" s="135"/>
    </x:row>
    <x:row r="11" ht="32" customHeight="1">
      <x:c r="A11" s="16" t="str">
        <x:v>SKU</x:v>
      </x:c>
      <x:c r="B11" s="16" t="str">
        <x:v>Producto</x:v>
      </x:c>
      <x:c r="C11" s="16" t="str">
        <x:v>Descuento</x:v>
      </x:c>
      <x:c r="D11" s="16" t="str">
        <x:v>Precio base</x:v>
      </x:c>
      <x:c r="E11" s="16" t="str">
        <x:v>Precio sim.</x:v>
      </x:c>
      <x:c r="F11" s="16" t="str">
        <x:v>Volumen base</x:v>
      </x:c>
      <x:c r="G11" s="16" t="str">
        <x:v>Volumen sim.</x:v>
      </x:c>
      <x:c r="H11" s="16" t="str">
        <x:v>Var. volumen</x:v>
      </x:c>
      <x:c r="I11" s="16" t="str">
        <x:v>Ingreso base</x:v>
      </x:c>
      <x:c r="J11" s="16" t="str">
        <x:v>Ingreso sim.</x:v>
      </x:c>
      <x:c r="K11" s="16" t="str">
        <x:v>Contrib. base</x:v>
      </x:c>
      <x:c r="L11" s="16" t="str">
        <x:v>Contrib. sim.</x:v>
      </x:c>
      <x:c r="M11" s="16" t="str">
        <x:v>Var. contrib.</x:v>
      </x:c>
      <x:c r="N11" s="16" t="str">
        <x:v>Decision</x:v>
      </x:c>
    </x:row>
    <x:row r="12">
      <x:c r="A12" s="20" t="str">
        <x:f>'Supuestos'!A7</x:f>
        <x:v>CFCL-355</x:v>
      </x:c>
      <x:c r="B12" s="20" t="str">
        <x:f>'Supuestos'!B7</x:f>
        <x:v>Cafe Clasico</x:v>
      </x:c>
      <x:c r="C12" s="47" t="n">
        <x:f>'Supuestos'!G7</x:f>
        <x:v>0.1</x:v>
      </x:c>
      <x:c r="D12" s="142" t="n">
        <x:f>'Supuestos'!C7</x:f>
        <x:v>37.359249999999996</x:v>
      </x:c>
      <x:c r="E12" s="51" t="n">
        <x:f>'Supuestos'!I7</x:f>
        <x:v>33.623324999999994</x:v>
      </x:c>
      <x:c r="F12" s="148" t="n">
        <x:f>'Supuestos'!E7</x:f>
        <x:v>877</x:v>
      </x:c>
      <x:c r="G12" s="148" t="n">
        <x:f>MAX(0,F12*(1+SUMPRODUCT('Elasticidades'!$B7:$G7,'Elasticidades'!$B$14:$G$14)))</x:f>
        <x:v>973.1829703415513</x:v>
      </x:c>
      <x:c r="H12" s="140" t="n">
        <x:f>G12/F12-1</x:f>
        <x:v>0.1096727141864895</x:v>
      </x:c>
      <x:c r="I12" s="146" t="n">
        <x:f>D12*F12</x:f>
        <x:v>32764.062249999995</x:v>
      </x:c>
      <x:c r="J12" s="150" t="n">
        <x:f>E12*G12</x:f>
        <x:v>32721.647296259333</x:v>
      </x:c>
      <x:c r="K12" s="150" t="n">
        <x:f>(D12-'Supuestos'!D7)*F12</x:f>
        <x:v>17403.407249999997</x:v>
      </x:c>
      <x:c r="L12" s="150" t="n">
        <x:f>(E12-'Supuestos'!D7)*G12</x:f>
        <x:v>15676.347570727063</x:v>
      </x:c>
      <x:c r="M12" s="48" t="n">
        <x:f>L12/K12-1</x:f>
        <x:v>-0.09923687094508082</x:v>
      </x:c>
      <x:c r="N12" s="39" t="str">
        <x:f>IF(ABS(L12-K12)&lt;0.01,"SIN CAMBIO",IF(L12&gt;K12,"CREA VALOR",IF(G12&gt;F12,"VOLUMEN SIN VALOR","DESTRUYE VALOR")))</x:f>
        <x:v>VOLUMEN SIN VALOR</x:v>
      </x:c>
    </x:row>
    <x:row r="13">
      <x:c r="A13" s="21" t="str">
        <x:f>'Supuestos'!A8</x:f>
        <x:v>CFVN-355</x:v>
      </x:c>
      <x:c r="B13" s="21" t="str">
        <x:f>'Supuestos'!B8</x:f>
        <x:v>Cafe Vainilla</x:v>
      </x:c>
      <x:c r="C13" s="49" t="n">
        <x:f>'Supuestos'!G8</x:f>
        <x:v>0</x:v>
      </x:c>
      <x:c r="D13" s="143" t="n">
        <x:f>'Supuestos'!C8</x:f>
        <x:v>40.620583333333336</x:v>
      </x:c>
      <x:c r="E13" s="52" t="n">
        <x:f>'Supuestos'!I8</x:f>
        <x:v>40.620583333333336</x:v>
      </x:c>
      <x:c r="F13" s="149" t="n">
        <x:f>'Supuestos'!E8</x:f>
        <x:v>644.25</x:v>
      </x:c>
      <x:c r="G13" s="149" t="n">
        <x:f>MAX(0,F13*(1+SUMPRODUCT('Elasticidades'!$B8:$G8,'Elasticidades'!$B$14:$G$14)))</x:f>
        <x:v>632.6535</x:v>
      </x:c>
      <x:c r="H13" s="141" t="n">
        <x:f>G13/F13-1</x:f>
        <x:v>-0.018000000000000016</x:v>
      </x:c>
      <x:c r="I13" s="147" t="n">
        <x:f>D13*F13</x:f>
        <x:v>26169.8108125</x:v>
      </x:c>
      <x:c r="J13" s="151" t="n">
        <x:f>E13*G13</x:f>
        <x:v>25698.754217875</x:v>
      </x:c>
      <x:c r="K13" s="151" t="n">
        <x:f>(D13-'Supuestos'!D8)*F13</x:f>
        <x:v>13721.290187500003</x:v>
      </x:c>
      <x:c r="L13" s="151" t="n">
        <x:f>(E13-'Supuestos'!D8)*G13</x:f>
        <x:v>13474.306964125002</x:v>
      </x:c>
      <x:c r="M13" s="50" t="n">
        <x:f>L13/K13-1</x:f>
        <x:v>-0.018000000000000016</x:v>
      </x:c>
      <x:c r="N13" s="40" t="str">
        <x:f>IF(ABS(L13-K13)&lt;0.01,"SIN CAMBIO",IF(L13&gt;K13,"CREA VALOR",IF(G13&gt;F13,"VOLUMEN SIN VALOR","DESTRUYE VALOR")))</x:f>
        <x:v>DESTRUYE VALOR</x:v>
      </x:c>
    </x:row>
    <x:row r="14">
      <x:c r="A14" s="21" t="str">
        <x:f>'Supuestos'!A9</x:f>
        <x:v>CFMO-355</x:v>
      </x:c>
      <x:c r="B14" s="21" t="str">
        <x:f>'Supuestos'!B9</x:f>
        <x:v>Cafe Moka</x:v>
      </x:c>
      <x:c r="C14" s="49" t="n">
        <x:f>'Supuestos'!G9</x:f>
        <x:v>0</x:v>
      </x:c>
      <x:c r="D14" s="143" t="n">
        <x:f>'Supuestos'!C9</x:f>
        <x:v>42.70016666666667</x:v>
      </x:c>
      <x:c r="E14" s="52" t="n">
        <x:f>'Supuestos'!I9</x:f>
        <x:v>42.70016666666667</x:v>
      </x:c>
      <x:c r="F14" s="149" t="n">
        <x:f>'Supuestos'!E9</x:f>
        <x:v>529.25</x:v>
      </x:c>
      <x:c r="G14" s="149" t="n">
        <x:f>MAX(0,F14*(1+SUMPRODUCT('Elasticidades'!$B9:$G9,'Elasticidades'!$B$14:$G$14)))</x:f>
        <x:v>523.9575</x:v>
      </x:c>
      <x:c r="H14" s="141" t="n">
        <x:f>G14/F14-1</x:f>
        <x:v>-0.010000000000000009</x:v>
      </x:c>
      <x:c r="I14" s="147" t="n">
        <x:f>D14*F14</x:f>
        <x:v>22599.063208333333</x:v>
      </x:c>
      <x:c r="J14" s="151" t="n">
        <x:f>E14*G14</x:f>
        <x:v>22373.07257625</x:v>
      </x:c>
      <x:c r="K14" s="151" t="n">
        <x:f>(D14-'Supuestos'!D9)*F14</x:f>
        <x:v>11642.265083333334</x:v>
      </x:c>
      <x:c r="L14" s="151" t="n">
        <x:f>(E14-'Supuestos'!D9)*G14</x:f>
        <x:v>11525.8424325</x:v>
      </x:c>
      <x:c r="M14" s="50" t="n">
        <x:f>L14/K14-1</x:f>
        <x:v>-0.010000000000000009</x:v>
      </x:c>
      <x:c r="N14" s="40" t="str">
        <x:f>IF(ABS(L14-K14)&lt;0.01,"SIN CAMBIO",IF(L14&gt;K14,"CREA VALOR",IF(G14&gt;F14,"VOLUMEN SIN VALOR","DESTRUYE VALOR")))</x:f>
        <x:v>DESTRUYE VALOR</x:v>
      </x:c>
    </x:row>
    <x:row r="15">
      <x:c r="A15" s="21" t="str">
        <x:f>'Supuestos'!A10</x:f>
        <x:v>TELM-500</x:v>
      </x:c>
      <x:c r="B15" s="21" t="str">
        <x:f>'Supuestos'!B10</x:f>
        <x:v>Te Limon</x:v>
      </x:c>
      <x:c r="C15" s="49" t="n">
        <x:f>'Supuestos'!G10</x:f>
        <x:v>0</x:v>
      </x:c>
      <x:c r="D15" s="143" t="n">
        <x:f>'Supuestos'!C10</x:f>
        <x:v>29.867395833333333</x:v>
      </x:c>
      <x:c r="E15" s="52" t="n">
        <x:f>'Supuestos'!I10</x:f>
        <x:v>29.867395833333333</x:v>
      </x:c>
      <x:c r="F15" s="149" t="n">
        <x:f>'Supuestos'!E10</x:f>
        <x:v>820.625</x:v>
      </x:c>
      <x:c r="G15" s="149" t="n">
        <x:f>MAX(0,F15*(1+SUMPRODUCT('Elasticidades'!$B10:$G10,'Elasticidades'!$B$14:$G$14)))</x:f>
        <x:v>820.625</x:v>
      </x:c>
      <x:c r="H15" s="141" t="n">
        <x:f>G15/F15-1</x:f>
        <x:v>0</x:v>
      </x:c>
      <x:c r="I15" s="147" t="n">
        <x:f>D15*F15</x:f>
        <x:v>24509.931705729166</x:v>
      </x:c>
      <x:c r="J15" s="151" t="n">
        <x:f>E15*G15</x:f>
        <x:v>24509.931705729166</x:v>
      </x:c>
      <x:c r="K15" s="151" t="n">
        <x:f>(D15-'Supuestos'!D10)*F15</x:f>
        <x:v>13619.212174479166</x:v>
      </x:c>
      <x:c r="L15" s="151" t="n">
        <x:f>(E15-'Supuestos'!D10)*G15</x:f>
        <x:v>13619.212174479166</x:v>
      </x:c>
      <x:c r="M15" s="50" t="n">
        <x:f>L15/K15-1</x:f>
        <x:v>0</x:v>
      </x:c>
      <x:c r="N15" s="40" t="str">
        <x:f>IF(ABS(L15-K15)&lt;0.01,"SIN CAMBIO",IF(L15&gt;K15,"CREA VALOR",IF(G15&gt;F15,"VOLUMEN SIN VALOR","DESTRUYE VALOR")))</x:f>
        <x:v>SIN CAMBIO</x:v>
      </x:c>
    </x:row>
    <x:row r="16">
      <x:c r="A16" s="21" t="str">
        <x:f>'Supuestos'!A11</x:f>
        <x:v>FRTR-500</x:v>
      </x:c>
      <x:c r="B16" s="21" t="str">
        <x:f>'Supuestos'!B11</x:f>
        <x:v>Bebida Frutal</x:v>
      </x:c>
      <x:c r="C16" s="49" t="n">
        <x:f>'Supuestos'!G11</x:f>
        <x:v>0</x:v>
      </x:c>
      <x:c r="D16" s="143" t="n">
        <x:f>'Supuestos'!C11</x:f>
        <x:v>32.068895833333336</x:v>
      </x:c>
      <x:c r="E16" s="52" t="n">
        <x:f>'Supuestos'!I11</x:f>
        <x:v>32.068895833333336</x:v>
      </x:c>
      <x:c r="F16" s="149" t="n">
        <x:f>'Supuestos'!E11</x:f>
        <x:v>732.625</x:v>
      </x:c>
      <x:c r="G16" s="149" t="n">
        <x:f>MAX(0,F16*(1+SUMPRODUCT('Elasticidades'!$B11:$G11,'Elasticidades'!$B$14:$G$14)))</x:f>
        <x:v>732.625</x:v>
      </x:c>
      <x:c r="H16" s="141" t="n">
        <x:f>G16/F16-1</x:f>
        <x:v>0</x:v>
      </x:c>
      <x:c r="I16" s="147" t="n">
        <x:f>D16*F16</x:f>
        <x:v>23494.474809895837</x:v>
      </x:c>
      <x:c r="J16" s="151" t="n">
        <x:f>E16*G16</x:f>
        <x:v>23494.474809895837</x:v>
      </x:c>
      <x:c r="K16" s="151" t="n">
        <x:f>(D16-'Supuestos'!D11)*F16</x:f>
        <x:v>12760.602778645834</x:v>
      </x:c>
      <x:c r="L16" s="151" t="n">
        <x:f>(E16-'Supuestos'!D11)*G16</x:f>
        <x:v>12760.602778645834</x:v>
      </x:c>
      <x:c r="M16" s="50" t="n">
        <x:f>L16/K16-1</x:f>
        <x:v>0</x:v>
      </x:c>
      <x:c r="N16" s="40" t="str">
        <x:f>IF(ABS(L16-K16)&lt;0.01,"SIN CAMBIO",IF(L16&gt;K16,"CREA VALOR",IF(G16&gt;F16,"VOLUMEN SIN VALOR","DESTRUYE VALOR")))</x:f>
        <x:v>SIN CAMBIO</x:v>
      </x:c>
    </x:row>
    <x:row r="17">
      <x:c r="A17" s="21" t="str">
        <x:f>'Supuestos'!A12</x:f>
        <x:v>ENRG-473</x:v>
      </x:c>
      <x:c r="B17" s="21" t="str">
        <x:f>'Supuestos'!B12</x:f>
        <x:v>Energetica</x:v>
      </x:c>
      <x:c r="C17" s="49" t="n">
        <x:f>'Supuestos'!G12</x:f>
        <x:v>0</x:v>
      </x:c>
      <x:c r="D17" s="143" t="n">
        <x:f>'Supuestos'!C12</x:f>
        <x:v>48.072937499999995</x:v>
      </x:c>
      <x:c r="E17" s="52" t="n">
        <x:f>'Supuestos'!I12</x:f>
        <x:v>48.072937499999995</x:v>
      </x:c>
      <x:c r="F17" s="149" t="n">
        <x:f>'Supuestos'!E12</x:f>
        <x:v>490.375</x:v>
      </x:c>
      <x:c r="G17" s="149" t="n">
        <x:f>MAX(0,F17*(1+SUMPRODUCT('Elasticidades'!$B12:$G12,'Elasticidades'!$B$14:$G$14)))</x:f>
        <x:v>490.375</x:v>
      </x:c>
      <x:c r="H17" s="141" t="n">
        <x:f>G17/F17-1</x:f>
        <x:v>0</x:v>
      </x:c>
      <x:c r="I17" s="147" t="n">
        <x:f>D17*F17</x:f>
        <x:v>23573.7667265625</x:v>
      </x:c>
      <x:c r="J17" s="151" t="n">
        <x:f>E17*G17</x:f>
        <x:v>23573.7667265625</x:v>
      </x:c>
      <x:c r="K17" s="151" t="n">
        <x:f>(D17-'Supuestos'!D12)*F17</x:f>
        <x:v>11599.422195312498</x:v>
      </x:c>
      <x:c r="L17" s="151" t="n">
        <x:f>(E17-'Supuestos'!D12)*G17</x:f>
        <x:v>11599.422195312498</x:v>
      </x:c>
      <x:c r="M17" s="50" t="n">
        <x:f>L17/K17-1</x:f>
        <x:v>0</x:v>
      </x:c>
      <x:c r="N17" s="40" t="str">
        <x:f>IF(ABS(L17-K17)&lt;0.01,"SIN CAMBIO",IF(L17&gt;K17,"CREA VALOR",IF(G17&gt;F17,"VOLUMEN SIN VALOR","DESTRUYE VALOR")))</x:f>
        <x:v>SIN CAMBIO</x:v>
      </x:c>
    </x:row>
    <x:row r="18">
      <x:c r="A18" s="152" t="str">
        <x:v>TOTAL PORTAFOLIO</x:v>
      </x:c>
      <x:c r="B18" s="152" t="str">
        <x:v>TOTAL PORTAFOLIO</x:v>
      </x:c>
      <x:c r="C18" s="152"/>
      <x:c r="D18" s="152"/>
      <x:c r="E18" s="152"/>
      <x:c r="F18" s="153" t="n">
        <x:f>SUM(F12:F17)</x:f>
        <x:v>4094.125</x:v>
      </x:c>
      <x:c r="G18" s="153" t="n">
        <x:f>SUM(G12:G17)</x:f>
        <x:v>4173.418970341551</x:v>
      </x:c>
      <x:c r="H18" s="154" t="n">
        <x:f>G18/F18-1</x:f>
        <x:v>0.019367745328135122</x:v>
      </x:c>
      <x:c r="I18" s="155" t="n">
        <x:f>SUM(I12:I17)</x:f>
        <x:v>153111.10951302084</x:v>
      </x:c>
      <x:c r="J18" s="155" t="n">
        <x:f>SUM(J12:J17)</x:f>
        <x:v>152371.64733257183</x:v>
      </x:c>
      <x:c r="K18" s="155" t="n">
        <x:f>SUM(K12:K17)</x:f>
        <x:v>80746.19966927082</x:v>
      </x:c>
      <x:c r="L18" s="155" t="n">
        <x:f>SUM(L12:L17)</x:f>
        <x:v>78655.73411578956</x:v>
      </x:c>
      <x:c r="M18" s="154" t="n">
        <x:f>L18/K18-1</x:f>
        <x:v>-0.025889336737129676</x:v>
      </x:c>
      <x:c r="N18" s="152" t="str">
        <x:f>IF(ABS(L18-K18)&lt;0.01,"SIN CAMBIO",IF(L18&gt;K18,"CREA VALOR",IF(G18&gt;F18,"VOLUMEN SIN VALOR","DESTRUYE VALOR")))</x:f>
        <x:v>VOLUMEN SIN VALOR</x:v>
      </x:c>
    </x:row>
    <x:row r="20">
      <x:c r="A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B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C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D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E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F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G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H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I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J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K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L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M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N20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</x:row>
    <x:row r="21">
      <x:c r="A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B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C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D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E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F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G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H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I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J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K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L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M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N21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</x:row>
    <x:row r="22">
      <x:c r="A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B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C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D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E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F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G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H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I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J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K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L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M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  <x:c r="N22" s="66" t="str">
        <x:v>Lectura ejecutiva: un descuento puede elevar el volumen del SKU promovido y, al mismo tiempo, reducir la contribucion total por menor margen y canibalizacion. La decision recomendada es priorizar contribucion portafolio, no unidades aisladas.</x:v>
      </x:c>
    </x:row>
  </x:sheetData>
  <x:mergeCells>
    <x:mergeCell ref="A1:N2"/>
    <x:mergeCell ref="A3:N4"/>
    <x:mergeCell ref="A6:C6"/>
    <x:mergeCell ref="A7:C8"/>
    <x:mergeCell ref="D6:F6"/>
    <x:mergeCell ref="D7:F8"/>
    <x:mergeCell ref="G6:I6"/>
    <x:mergeCell ref="G7:I8"/>
    <x:mergeCell ref="J6:L6"/>
    <x:mergeCell ref="J7:L8"/>
    <x:mergeCell ref="M6:N6"/>
    <x:mergeCell ref="M7:N8"/>
    <x:mergeCell ref="A18:B18"/>
    <x:mergeCell ref="A20:N22"/>
  </x:mergeCells>
  <x:conditionalFormatting sqref="N12:N18">
    <x:cfRule type="containsText" dxfId="0" priority="1" operator="containsText" text="CREA VALOR"/>
    <x:cfRule type="containsText" dxfId="1" priority="2" operator="containsText" text="VOLUMEN SIN VALOR"/>
    <x:cfRule type="containsText" dxfId="2" priority="3" operator="containsText" text="DESTRUYE VALOR"/>
    <x:cfRule type="containsText" dxfId="3" priority="4" operator="containsText" text="SIN CAMBIO"/>
  </x:conditionalFormatting>
  <x:pageMargins left="0.7" right="0.7" top="0.75" bottom="0.75" header="0.3" footer="0.3"/>
  <x:legacyDrawing xmlns:r="http://schemas.openxmlformats.org/officeDocument/2006/relationships" r:id="Rb271d884b12e49b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2" customHeight="1">
      <x:c r="A1" s="3" t="str">
        <x:v>Sensibilidad individual de precio</x:v>
      </x:c>
      <x:c r="B1" s="3" t="str">
        <x:v>Sensibilidad individual de precio</x:v>
      </x:c>
      <x:c r="C1" s="3" t="str">
        <x:v>Sensibilidad individual de precio</x:v>
      </x:c>
      <x:c r="D1" s="3" t="str">
        <x:v>Sensibilidad individual de precio</x:v>
      </x:c>
      <x:c r="E1" s="3" t="str">
        <x:v>Sensibilidad individual de precio</x:v>
      </x:c>
      <x:c r="F1" s="3" t="str">
        <x:v>Sensibilidad individual de precio</x:v>
      </x:c>
      <x:c r="G1" s="3" t="str">
        <x:v>Sensibilidad individual de precio</x:v>
      </x:c>
      <x:c r="H1" s="3" t="str">
        <x:v>Sensibilidad individual de precio</x:v>
      </x:c>
      <x:c r="I1" s="3" t="str">
        <x:v>Sensibilidad individual de precio</x:v>
      </x:c>
      <x:c r="J1" s="3" t="str">
        <x:v>Sensibilidad individual de precio</x:v>
      </x:c>
      <x:c r="K1" s="3" t="str">
        <x:v>Sensibilidad individual de precio</x:v>
      </x:c>
    </x:row>
    <x:row r="2" ht="32" customHeight="1">
      <x:c r="A2" s="3" t="str">
        <x:v>Sensibilidad individual de precio</x:v>
      </x:c>
      <x:c r="B2" s="3" t="str">
        <x:v>Sensibilidad individual de precio</x:v>
      </x:c>
      <x:c r="C2" s="3" t="str">
        <x:v>Sensibilidad individual de precio</x:v>
      </x:c>
      <x:c r="D2" s="3" t="str">
        <x:v>Sensibilidad individual de precio</x:v>
      </x:c>
      <x:c r="E2" s="3" t="str">
        <x:v>Sensibilidad individual de precio</x:v>
      </x:c>
      <x:c r="F2" s="3" t="str">
        <x:v>Sensibilidad individual de precio</x:v>
      </x:c>
      <x:c r="G2" s="3" t="str">
        <x:v>Sensibilidad individual de precio</x:v>
      </x:c>
      <x:c r="H2" s="3" t="str">
        <x:v>Sensibilidad individual de precio</x:v>
      </x:c>
      <x:c r="I2" s="3" t="str">
        <x:v>Sensibilidad individual de precio</x:v>
      </x:c>
      <x:c r="J2" s="3" t="str">
        <x:v>Sensibilidad individual de precio</x:v>
      </x:c>
      <x:c r="K2" s="3" t="str">
        <x:v>Sensibilidad individual de precio</x:v>
      </x:c>
    </x:row>
    <x:row r="3" ht="30" customHeight="1">
      <x:c r="A3" s="7" t="str">
        <x:v>Analisis aislado del producto seleccionado; las relaciones cruzadas se mantienen fuera de esta vista.</x:v>
      </x:c>
      <x:c r="B3" s="7" t="str">
        <x:v>Analisis aislado del producto seleccionado; las relaciones cruzadas se mantienen fuera de esta vista.</x:v>
      </x:c>
      <x:c r="C3" s="7" t="str">
        <x:v>Analisis aislado del producto seleccionado; las relaciones cruzadas se mantienen fuera de esta vista.</x:v>
      </x:c>
      <x:c r="D3" s="7" t="str">
        <x:v>Analisis aislado del producto seleccionado; las relaciones cruzadas se mantienen fuera de esta vista.</x:v>
      </x:c>
      <x:c r="E3" s="7" t="str">
        <x:v>Analisis aislado del producto seleccionado; las relaciones cruzadas se mantienen fuera de esta vista.</x:v>
      </x:c>
      <x:c r="F3" s="7" t="str">
        <x:v>Analisis aislado del producto seleccionado; las relaciones cruzadas se mantienen fuera de esta vista.</x:v>
      </x:c>
      <x:c r="G3" s="7" t="str">
        <x:v>Analisis aislado del producto seleccionado; las relaciones cruzadas se mantienen fuera de esta vista.</x:v>
      </x:c>
      <x:c r="H3" s="7" t="str">
        <x:v>Analisis aislado del producto seleccionado; las relaciones cruzadas se mantienen fuera de esta vista.</x:v>
      </x:c>
      <x:c r="I3" s="7" t="str">
        <x:v>Analisis aislado del producto seleccionado; las relaciones cruzadas se mantienen fuera de esta vista.</x:v>
      </x:c>
      <x:c r="J3" s="7" t="str">
        <x:v>Analisis aislado del producto seleccionado; las relaciones cruzadas se mantienen fuera de esta vista.</x:v>
      </x:c>
      <x:c r="K3" s="7" t="str">
        <x:v>Analisis aislado del producto seleccionado; las relaciones cruzadas se mantienen fuera de esta vista.</x:v>
      </x:c>
    </x:row>
    <x:row r="4" ht="30" customHeight="1">
      <x:c r="A4" s="7" t="str">
        <x:v>Analisis aislado del producto seleccionado; las relaciones cruzadas se mantienen fuera de esta vista.</x:v>
      </x:c>
      <x:c r="B4" s="7" t="str">
        <x:v>Analisis aislado del producto seleccionado; las relaciones cruzadas se mantienen fuera de esta vista.</x:v>
      </x:c>
      <x:c r="C4" s="7" t="str">
        <x:v>Analisis aislado del producto seleccionado; las relaciones cruzadas se mantienen fuera de esta vista.</x:v>
      </x:c>
      <x:c r="D4" s="7" t="str">
        <x:v>Analisis aislado del producto seleccionado; las relaciones cruzadas se mantienen fuera de esta vista.</x:v>
      </x:c>
      <x:c r="E4" s="7" t="str">
        <x:v>Analisis aislado del producto seleccionado; las relaciones cruzadas se mantienen fuera de esta vista.</x:v>
      </x:c>
      <x:c r="F4" s="7" t="str">
        <x:v>Analisis aislado del producto seleccionado; las relaciones cruzadas se mantienen fuera de esta vista.</x:v>
      </x:c>
      <x:c r="G4" s="7" t="str">
        <x:v>Analisis aislado del producto seleccionado; las relaciones cruzadas se mantienen fuera de esta vista.</x:v>
      </x:c>
      <x:c r="H4" s="7" t="str">
        <x:v>Analisis aislado del producto seleccionado; las relaciones cruzadas se mantienen fuera de esta vista.</x:v>
      </x:c>
      <x:c r="I4" s="7" t="str">
        <x:v>Analisis aislado del producto seleccionado; las relaciones cruzadas se mantienen fuera de esta vista.</x:v>
      </x:c>
      <x:c r="J4" s="7" t="str">
        <x:v>Analisis aislado del producto seleccionado; las relaciones cruzadas se mantienen fuera de esta vista.</x:v>
      </x:c>
      <x:c r="K4" s="7" t="str">
        <x:v>Analisis aislado del producto seleccionado; las relaciones cruzadas se mantienen fuera de esta vista.</x:v>
      </x:c>
    </x:row>
    <x:row r="6">
      <x:c r="A6" s="61" t="str">
        <x:v>Producto seleccionado</x:v>
      </x:c>
      <x:c r="B6" s="62" t="str">
        <x:v>Cafe Clasico</x:v>
      </x:c>
    </x:row>
    <x:row r="8" ht="32" customHeight="1">
      <x:c r="A8" s="16" t="str">
        <x:v>Descuento</x:v>
      </x:c>
      <x:c r="B8" s="16" t="str">
        <x:v>Precio</x:v>
      </x:c>
      <x:c r="C8" s="16" t="str">
        <x:v>Volumen</x:v>
      </x:c>
      <x:c r="D8" s="16" t="str">
        <x:v>Ingreso</x:v>
      </x:c>
      <x:c r="E8" s="16" t="str">
        <x:v>Contribucion</x:v>
      </x:c>
      <x:c r="F8" s="16" t="str">
        <x:v>Var. ingreso</x:v>
      </x:c>
      <x:c r="G8" s="16" t="str">
        <x:v>Var. contribucion</x:v>
      </x:c>
      <x:c r="I8" s="156" t="str">
        <x:v>Descuento</x:v>
      </x:c>
      <x:c r="J8" s="156" t="str">
        <x:v>Var. ingreso</x:v>
      </x:c>
      <x:c r="K8" s="156" t="str">
        <x:v>Var. contribucion</x:v>
      </x:c>
    </x:row>
    <x:row r="9">
      <x:c r="A9" s="47" t="n">
        <x:v>0</x:v>
      </x:c>
      <x:c r="B9" s="142" t="n">
        <x:f>INDEX('Supuestos'!$C$7:$C$12,MATCH($B$6,'Supuestos'!$B$7:$B$12,0))*(1-A9)</x:f>
        <x:v>37.359249999999996</x:v>
      </x:c>
      <x:c r="C9" s="144" t="n">
        <x:f>MAX(0,INDEX('Supuestos'!$E$7:$E$12,MATCH($B$6,'Supuestos'!$B$7:$B$12,0))*(1+INDEX('Supuestos'!$F$7:$F$12,MATCH($B$6,'Supuestos'!$B$7:$B$12,0))*(-A9)))</x:f>
        <x:v>877</x:v>
      </x:c>
      <x:c r="D9" s="146" t="n">
        <x:f>B9*C9</x:f>
        <x:v>32764.062249999995</x:v>
      </x:c>
      <x:c r="E9" s="146" t="n">
        <x:f>(B9-INDEX('Supuestos'!$D$7:$D$12,MATCH($B$6,'Supuestos'!$B$7:$B$12,0)))*C9</x:f>
        <x:v>17403.407249999997</x:v>
      </x:c>
      <x:c r="F9" s="140" t="n">
        <x:f>D9/(INDEX('Supuestos'!$C$7:$C$12,MATCH($B$6,'Supuestos'!$B$7:$B$12,0))*INDEX('Supuestos'!$E$7:$E$12,MATCH($B$6,'Supuestos'!$B$7:$B$12,0)))-1</x:f>
        <x:v>0</x:v>
      </x:c>
      <x:c r="G9" s="140" t="n">
        <x:f>E9/((INDEX('Supuestos'!$C$7:$C$12,MATCH($B$6,'Supuestos'!$B$7:$B$12,0))-INDEX('Supuestos'!$D$7:$D$12,MATCH($B$6,'Supuestos'!$B$7:$B$12,0)))*INDEX('Supuestos'!$E$7:$E$12,MATCH($B$6,'Supuestos'!$B$7:$B$12,0)))-1</x:f>
        <x:v>0</x:v>
      </x:c>
      <x:c r="I9" s="156" t="n">
        <x:f>A9</x:f>
        <x:v>0</x:v>
      </x:c>
      <x:c r="J9" s="156" t="n">
        <x:f>F9</x:f>
        <x:v>0</x:v>
      </x:c>
      <x:c r="K9" s="156" t="n">
        <x:f>G9</x:f>
        <x:v>0</x:v>
      </x:c>
    </x:row>
    <x:row r="10">
      <x:c r="A10" s="49" t="n">
        <x:v>0.025</x:v>
      </x:c>
      <x:c r="B10" s="143" t="n">
        <x:f>INDEX('Supuestos'!$C$7:$C$12,MATCH($B$6,'Supuestos'!$B$7:$B$12,0))*(1-A10)</x:f>
        <x:v>36.425268749999994</x:v>
      </x:c>
      <x:c r="C10" s="145" t="n">
        <x:f>MAX(0,INDEX('Supuestos'!$E$7:$E$12,MATCH($B$6,'Supuestos'!$B$7:$B$12,0))*(1+INDEX('Supuestos'!$F$7:$F$12,MATCH($B$6,'Supuestos'!$B$7:$B$12,0))*(-A10)))</x:f>
        <x:v>901.0457425853878</x:v>
      </x:c>
      <x:c r="D10" s="147" t="n">
        <x:f>B10*C10</x:f>
        <x:v>32820.833329716064</x:v>
      </x:c>
      <x:c r="E10" s="147" t="n">
        <x:f>(B10-INDEX('Supuestos'!$D$7:$D$12,MATCH($B$6,'Supuestos'!$B$7:$B$12,0)))*C10</x:f>
        <x:v>17039.017148332998</x:v>
      </x:c>
      <x:c r="F10" s="141" t="n">
        <x:f>D10/(INDEX('Supuestos'!$C$7:$C$12,MATCH($B$6,'Supuestos'!$B$7:$B$12,0))*INDEX('Supuestos'!$E$7:$E$12,MATCH($B$6,'Supuestos'!$B$7:$B$12,0)))-1</x:f>
        <x:v>0.0017327240829567714</x:v>
      </x:c>
      <x:c r="G10" s="141" t="n">
        <x:f>E10/((INDEX('Supuestos'!$C$7:$C$12,MATCH($B$6,'Supuestos'!$B$7:$B$12,0))-INDEX('Supuestos'!$D$7:$D$12,MATCH($B$6,'Supuestos'!$B$7:$B$12,0)))*INDEX('Supuestos'!$E$7:$E$12,MATCH($B$6,'Supuestos'!$B$7:$B$12,0)))-1</x:f>
        <x:v>-0.020937859835866268</x:v>
      </x:c>
      <x:c r="I10" s="156" t="n">
        <x:f>A10</x:f>
        <x:v>0.025</x:v>
      </x:c>
      <x:c r="J10" s="156" t="n">
        <x:f>F10</x:f>
        <x:v>0.0017327240829567714</x:v>
      </x:c>
      <x:c r="K10" s="156" t="n">
        <x:f>G10</x:f>
        <x:v>-0.020937859835866268</x:v>
      </x:c>
    </x:row>
    <x:row r="11">
      <x:c r="A11" s="49" t="n">
        <x:v>0.05</x:v>
      </x:c>
      <x:c r="B11" s="143" t="n">
        <x:f>INDEX('Supuestos'!$C$7:$C$12,MATCH($B$6,'Supuestos'!$B$7:$B$12,0))*(1-A11)</x:f>
        <x:v>35.49128749999999</x:v>
      </x:c>
      <x:c r="C11" s="145" t="n">
        <x:f>MAX(0,INDEX('Supuestos'!$E$7:$E$12,MATCH($B$6,'Supuestos'!$B$7:$B$12,0))*(1+INDEX('Supuestos'!$F$7:$F$12,MATCH($B$6,'Supuestos'!$B$7:$B$12,0))*(-A11)))</x:f>
        <x:v>925.0914851707755</x:v>
      </x:c>
      <x:c r="D11" s="147" t="n">
        <x:f>B11*C11</x:f>
        <x:v>32832.68786399797</x:v>
      </x:c>
      <x:c r="E11" s="147" t="n">
        <x:f>(B11-INDEX('Supuestos'!$D$7:$D$12,MATCH($B$6,'Supuestos'!$B$7:$B$12,0)))*C11</x:f>
        <x:v>16629.71050123184</x:v>
      </x:c>
      <x:c r="F11" s="141" t="n">
        <x:f>D11/(INDEX('Supuestos'!$C$7:$C$12,MATCH($B$6,'Supuestos'!$B$7:$B$12,0))*INDEX('Supuestos'!$E$7:$E$12,MATCH($B$6,'Supuestos'!$B$7:$B$12,0)))-1</x:f>
        <x:v>0.0020945392385822714</x:v>
      </x:c>
      <x:c r="G11" s="141" t="n">
        <x:f>E11/((INDEX('Supuestos'!$C$7:$C$12,MATCH($B$6,'Supuestos'!$B$7:$B$12,0))-INDEX('Supuestos'!$D$7:$D$12,MATCH($B$6,'Supuestos'!$B$7:$B$12,0)))*INDEX('Supuestos'!$E$7:$E$12,MATCH($B$6,'Supuestos'!$B$7:$B$12,0)))-1</x:f>
        <x:v>-0.044456624938668754</x:v>
      </x:c>
      <x:c r="I11" s="156" t="n">
        <x:f>A11</x:f>
        <x:v>0.05</x:v>
      </x:c>
      <x:c r="J11" s="156" t="n">
        <x:f>F11</x:f>
        <x:v>0.0020945392385822714</x:v>
      </x:c>
      <x:c r="K11" s="156" t="n">
        <x:f>G11</x:f>
        <x:v>-0.044456624938668754</x:v>
      </x:c>
    </x:row>
    <x:row r="12">
      <x:c r="A12" s="49" t="n">
        <x:v>0.075</x:v>
      </x:c>
      <x:c r="B12" s="143" t="n">
        <x:f>INDEX('Supuestos'!$C$7:$C$12,MATCH($B$6,'Supuestos'!$B$7:$B$12,0))*(1-A12)</x:f>
        <x:v>34.557306249999996</x:v>
      </x:c>
      <x:c r="C12" s="145" t="n">
        <x:f>MAX(0,INDEX('Supuestos'!$E$7:$E$12,MATCH($B$6,'Supuestos'!$B$7:$B$12,0))*(1+INDEX('Supuestos'!$F$7:$F$12,MATCH($B$6,'Supuestos'!$B$7:$B$12,0))*(-A12)))</x:f>
        <x:v>949.1372277561635</x:v>
      </x:c>
      <x:c r="D12" s="147" t="n">
        <x:f>B12*C12</x:f>
        <x:v>32799.62585284574</x:v>
      </x:c>
      <x:c r="E12" s="147" t="n">
        <x:f>(B12-INDEX('Supuestos'!$D$7:$D$12,MATCH($B$6,'Supuestos'!$B$7:$B$12,0)))*C12</x:f>
        <x:v>16175.487308696534</x:v>
      </x:c>
      <x:c r="F12" s="141" t="n">
        <x:f>D12/(INDEX('Supuestos'!$C$7:$C$12,MATCH($B$6,'Supuestos'!$B$7:$B$12,0))*INDEX('Supuestos'!$E$7:$E$12,MATCH($B$6,'Supuestos'!$B$7:$B$12,0)))-1</x:f>
        <x:v>0.0010854454668771663</x:v>
      </x:c>
      <x:c r="G12" s="141" t="n">
        <x:f>E12/((INDEX('Supuestos'!$C$7:$C$12,MATCH($B$6,'Supuestos'!$B$7:$B$12,0))-INDEX('Supuestos'!$D$7:$D$12,MATCH($B$6,'Supuestos'!$B$7:$B$12,0)))*INDEX('Supuestos'!$E$7:$E$12,MATCH($B$6,'Supuestos'!$B$7:$B$12,0)))-1</x:f>
        <x:v>-0.07055629530840646</x:v>
      </x:c>
      <x:c r="I12" s="156" t="n">
        <x:f>A12</x:f>
        <x:v>0.075</x:v>
      </x:c>
      <x:c r="J12" s="156" t="n">
        <x:f>F12</x:f>
        <x:v>0.0010854454668771663</x:v>
      </x:c>
      <x:c r="K12" s="156" t="n">
        <x:f>G12</x:f>
        <x:v>-0.07055629530840646</x:v>
      </x:c>
    </x:row>
    <x:row r="13">
      <x:c r="A13" s="49" t="n">
        <x:v>0.1</x:v>
      </x:c>
      <x:c r="B13" s="143" t="n">
        <x:f>INDEX('Supuestos'!$C$7:$C$12,MATCH($B$6,'Supuestos'!$B$7:$B$12,0))*(1-A13)</x:f>
        <x:v>33.623324999999994</x:v>
      </x:c>
      <x:c r="C13" s="145" t="n">
        <x:f>MAX(0,INDEX('Supuestos'!$E$7:$E$12,MATCH($B$6,'Supuestos'!$B$7:$B$12,0))*(1+INDEX('Supuestos'!$F$7:$F$12,MATCH($B$6,'Supuestos'!$B$7:$B$12,0))*(-A13)))</x:f>
        <x:v>973.1829703415513</x:v>
      </x:c>
      <x:c r="D13" s="147" t="n">
        <x:f>B13*C13</x:f>
        <x:v>32721.647296259333</x:v>
      </x:c>
      <x:c r="E13" s="147" t="n">
        <x:f>(B13-INDEX('Supuestos'!$D$7:$D$12,MATCH($B$6,'Supuestos'!$B$7:$B$12,0)))*C13</x:f>
        <x:v>15676.347570727063</x:v>
      </x:c>
      <x:c r="F13" s="141" t="n">
        <x:f>D13/(INDEX('Supuestos'!$C$7:$C$12,MATCH($B$6,'Supuestos'!$B$7:$B$12,0))*INDEX('Supuestos'!$E$7:$E$12,MATCH($B$6,'Supuestos'!$B$7:$B$12,0)))-1</x:f>
        <x:v>-0.0012945572321595433</x:v>
      </x:c>
      <x:c r="G13" s="141" t="n">
        <x:f>E13/((INDEX('Supuestos'!$C$7:$C$12,MATCH($B$6,'Supuestos'!$B$7:$B$12,0))-INDEX('Supuestos'!$D$7:$D$12,MATCH($B$6,'Supuestos'!$B$7:$B$12,0)))*INDEX('Supuestos'!$E$7:$E$12,MATCH($B$6,'Supuestos'!$B$7:$B$12,0)))-1</x:f>
        <x:v>-0.09923687094508082</x:v>
      </x:c>
      <x:c r="I13" s="156" t="n">
        <x:f>A13</x:f>
        <x:v>0.1</x:v>
      </x:c>
      <x:c r="J13" s="156" t="n">
        <x:f>F13</x:f>
        <x:v>-0.0012945572321595433</x:v>
      </x:c>
      <x:c r="K13" s="156" t="n">
        <x:f>G13</x:f>
        <x:v>-0.09923687094508082</x:v>
      </x:c>
    </x:row>
    <x:row r="14">
      <x:c r="A14" s="49" t="n">
        <x:v>0.125</x:v>
      </x:c>
      <x:c r="B14" s="143" t="n">
        <x:f>INDEX('Supuestos'!$C$7:$C$12,MATCH($B$6,'Supuestos'!$B$7:$B$12,0))*(1-A14)</x:f>
        <x:v>32.68934375</x:v>
      </x:c>
      <x:c r="C14" s="145" t="n">
        <x:f>MAX(0,INDEX('Supuestos'!$E$7:$E$12,MATCH($B$6,'Supuestos'!$B$7:$B$12,0))*(1+INDEX('Supuestos'!$F$7:$F$12,MATCH($B$6,'Supuestos'!$B$7:$B$12,0))*(-A14)))</x:f>
        <x:v>997.228712926939</x:v>
      </x:c>
      <x:c r="D14" s="147" t="n">
        <x:f>B14*C14</x:f>
        <x:v>32598.752194238776</x:v>
      </x:c>
      <x:c r="E14" s="147" t="n">
        <x:f>(B14-INDEX('Supuestos'!$D$7:$D$12,MATCH($B$6,'Supuestos'!$B$7:$B$12,0)))*C14</x:f>
        <x:v>15132.29128732344</x:v>
      </x:c>
      <x:c r="F14" s="141" t="n">
        <x:f>D14/(INDEX('Supuestos'!$C$7:$C$12,MATCH($B$6,'Supuestos'!$B$7:$B$12,0))*INDEX('Supuestos'!$E$7:$E$12,MATCH($B$6,'Supuestos'!$B$7:$B$12,0)))-1</x:f>
        <x:v>-0.005045468858527191</x:v>
      </x:c>
      <x:c r="G14" s="141" t="n">
        <x:f>E14/((INDEX('Supuestos'!$C$7:$C$12,MATCH($B$6,'Supuestos'!$B$7:$B$12,0))-INDEX('Supuestos'!$D$7:$D$12,MATCH($B$6,'Supuestos'!$B$7:$B$12,0)))*INDEX('Supuestos'!$E$7:$E$12,MATCH($B$6,'Supuestos'!$B$7:$B$12,0)))-1</x:f>
        <x:v>-0.13049835184869085</x:v>
      </x:c>
      <x:c r="I14" s="156" t="n">
        <x:f>A14</x:f>
        <x:v>0.125</x:v>
      </x:c>
      <x:c r="J14" s="156" t="n">
        <x:f>F14</x:f>
        <x:v>-0.005045468858527191</x:v>
      </x:c>
      <x:c r="K14" s="156" t="n">
        <x:f>G14</x:f>
        <x:v>-0.13049835184869085</x:v>
      </x:c>
    </x:row>
    <x:row r="15">
      <x:c r="A15" s="49" t="n">
        <x:v>0.15</x:v>
      </x:c>
      <x:c r="B15" s="143" t="n">
        <x:f>INDEX('Supuestos'!$C$7:$C$12,MATCH($B$6,'Supuestos'!$B$7:$B$12,0))*(1-A15)</x:f>
        <x:v>31.755362499999997</x:v>
      </x:c>
      <x:c r="C15" s="145" t="n">
        <x:f>MAX(0,INDEX('Supuestos'!$E$7:$E$12,MATCH($B$6,'Supuestos'!$B$7:$B$12,0))*(1+INDEX('Supuestos'!$F$7:$F$12,MATCH($B$6,'Supuestos'!$B$7:$B$12,0))*(-A15)))</x:f>
        <x:v>1021.274455512327</x:v>
      </x:c>
      <x:c r="D15" s="147" t="n">
        <x:f>B15*C15</x:f>
        <x:v>32430.940546784062</x:v>
      </x:c>
      <x:c r="E15" s="147" t="n">
        <x:f>(B15-INDEX('Supuestos'!$D$7:$D$12,MATCH($B$6,'Supuestos'!$B$7:$B$12,0)))*C15</x:f>
        <x:v>14543.318458485655</x:v>
      </x:c>
      <x:c r="F15" s="141" t="n">
        <x:f>D15/(INDEX('Supuestos'!$C$7:$C$12,MATCH($B$6,'Supuestos'!$B$7:$B$12,0))*INDEX('Supuestos'!$E$7:$E$12,MATCH($B$6,'Supuestos'!$B$7:$B$12,0)))-1</x:f>
        <x:v>-0.010167289412225777</x:v>
      </x:c>
      <x:c r="G15" s="141" t="n">
        <x:f>E15/((INDEX('Supuestos'!$C$7:$C$12,MATCH($B$6,'Supuestos'!$B$7:$B$12,0))-INDEX('Supuestos'!$D$7:$D$12,MATCH($B$6,'Supuestos'!$B$7:$B$12,0)))*INDEX('Supuestos'!$E$7:$E$12,MATCH($B$6,'Supuestos'!$B$7:$B$12,0)))-1</x:f>
        <x:v>-0.1643407380192371</x:v>
      </x:c>
      <x:c r="I15" s="156" t="n">
        <x:f>A15</x:f>
        <x:v>0.15</x:v>
      </x:c>
      <x:c r="J15" s="156" t="n">
        <x:f>F15</x:f>
        <x:v>-0.010167289412225777</x:v>
      </x:c>
      <x:c r="K15" s="156" t="n">
        <x:f>G15</x:f>
        <x:v>-0.1643407380192371</x:v>
      </x:c>
    </x:row>
    <x:row r="16">
      <x:c r="A16" s="49" t="n">
        <x:v>0.175</x:v>
      </x:c>
      <x:c r="B16" s="143" t="n">
        <x:f>INDEX('Supuestos'!$C$7:$C$12,MATCH($B$6,'Supuestos'!$B$7:$B$12,0))*(1-A16)</x:f>
        <x:v>30.821381249999995</x:v>
      </x:c>
      <x:c r="C16" s="145" t="n">
        <x:f>MAX(0,INDEX('Supuestos'!$E$7:$E$12,MATCH($B$6,'Supuestos'!$B$7:$B$12,0))*(1+INDEX('Supuestos'!$F$7:$F$12,MATCH($B$6,'Supuestos'!$B$7:$B$12,0))*(-A16)))</x:f>
        <x:v>1045.3201980977149</x:v>
      </x:c>
      <x:c r="D16" s="147" t="n">
        <x:f>B16*C16</x:f>
        <x:v>32218.21235389519</x:v>
      </x:c>
      <x:c r="E16" s="147" t="n">
        <x:f>(B16-INDEX('Supuestos'!$D$7:$D$12,MATCH($B$6,'Supuestos'!$B$7:$B$12,0)))*C16</x:f>
        <x:v>13909.429084213712</x:v>
      </x:c>
      <x:c r="F16" s="141" t="n">
        <x:f>D16/(INDEX('Supuestos'!$C$7:$C$12,MATCH($B$6,'Supuestos'!$B$7:$B$12,0))*INDEX('Supuestos'!$E$7:$E$12,MATCH($B$6,'Supuestos'!$B$7:$B$12,0)))-1</x:f>
        <x:v>-0.016660018893255746</x:v>
      </x:c>
      <x:c r="G16" s="141" t="n">
        <x:f>E16/((INDEX('Supuestos'!$C$7:$C$12,MATCH($B$6,'Supuestos'!$B$7:$B$12,0))-INDEX('Supuestos'!$D$7:$D$12,MATCH($B$6,'Supuestos'!$B$7:$B$12,0)))*INDEX('Supuestos'!$E$7:$E$12,MATCH($B$6,'Supuestos'!$B$7:$B$12,0)))-1</x:f>
        <x:v>-0.20076402945671945</x:v>
      </x:c>
      <x:c r="I16" s="156" t="n">
        <x:f>A16</x:f>
        <x:v>0.175</x:v>
      </x:c>
      <x:c r="J16" s="156" t="n">
        <x:f>F16</x:f>
        <x:v>-0.016660018893255746</x:v>
      </x:c>
      <x:c r="K16" s="156" t="n">
        <x:f>G16</x:f>
        <x:v>-0.20076402945671945</x:v>
      </x:c>
    </x:row>
    <x:row r="17">
      <x:c r="A17" s="49" t="n">
        <x:v>0.2</x:v>
      </x:c>
      <x:c r="B17" s="143" t="n">
        <x:f>INDEX('Supuestos'!$C$7:$C$12,MATCH($B$6,'Supuestos'!$B$7:$B$12,0))*(1-A17)</x:f>
        <x:v>29.8874</x:v>
      </x:c>
      <x:c r="C17" s="145" t="n">
        <x:f>MAX(0,INDEX('Supuestos'!$E$7:$E$12,MATCH($B$6,'Supuestos'!$B$7:$B$12,0))*(1+INDEX('Supuestos'!$F$7:$F$12,MATCH($B$6,'Supuestos'!$B$7:$B$12,0))*(-A17)))</x:f>
        <x:v>1069.3659406831025</x:v>
      </x:c>
      <x:c r="D17" s="147" t="n">
        <x:f>B17*C17</x:f>
        <x:v>31960.567615572156</x:v>
      </x:c>
      <x:c r="E17" s="147" t="n">
        <x:f>(B17-INDEX('Supuestos'!$D$7:$D$12,MATCH($B$6,'Supuestos'!$B$7:$B$12,0)))*C17</x:f>
        <x:v>13230.623164507617</x:v>
      </x:c>
      <x:c r="F17" s="141" t="n">
        <x:f>D17/(INDEX('Supuestos'!$C$7:$C$12,MATCH($B$6,'Supuestos'!$B$7:$B$12,0))*INDEX('Supuestos'!$E$7:$E$12,MATCH($B$6,'Supuestos'!$B$7:$B$12,0)))-1</x:f>
        <x:v>-0.024523657301616764</x:v>
      </x:c>
      <x:c r="G17" s="141" t="n">
        <x:f>E17/((INDEX('Supuestos'!$C$7:$C$12,MATCH($B$6,'Supuestos'!$B$7:$B$12,0))-INDEX('Supuestos'!$D$7:$D$12,MATCH($B$6,'Supuestos'!$B$7:$B$12,0)))*INDEX('Supuestos'!$E$7:$E$12,MATCH($B$6,'Supuestos'!$B$7:$B$12,0)))-1</x:f>
        <x:v>-0.23976822616113758</x:v>
      </x:c>
      <x:c r="I17" s="156" t="n">
        <x:f>A17</x:f>
        <x:v>0.2</x:v>
      </x:c>
      <x:c r="J17" s="156" t="n">
        <x:f>F17</x:f>
        <x:v>-0.024523657301616764</x:v>
      </x:c>
      <x:c r="K17" s="156" t="n">
        <x:f>G17</x:f>
        <x:v>-0.23976822616113758</x:v>
      </x:c>
    </x:row>
    <x:row r="20">
      <x:c r="A20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B20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C20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D20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E20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F20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G20" s="66" t="str">
        <x:v>La curva de contribucion identifica el punto donde el crecimiento de volumen deja de compensar la reduccion del margen unitario. Para una decision real deben incorporarse costos promocionales y restricciones de ejecucion.</x:v>
      </x:c>
    </x:row>
    <x:row r="21">
      <x:c r="A21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B21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C21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D21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E21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F21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G21" s="66" t="str">
        <x:v>La curva de contribucion identifica el punto donde el crecimiento de volumen deja de compensar la reduccion del margen unitario. Para una decision real deben incorporarse costos promocionales y restricciones de ejecucion.</x:v>
      </x:c>
    </x:row>
    <x:row r="22">
      <x:c r="A22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B22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C22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D22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E22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F22" s="66" t="str">
        <x:v>La curva de contribucion identifica el punto donde el crecimiento de volumen deja de compensar la reduccion del margen unitario. Para una decision real deben incorporarse costos promocionales y restricciones de ejecucion.</x:v>
      </x:c>
      <x:c r="G22" s="66" t="str">
        <x:v>La curva de contribucion identifica el punto donde el crecimiento de volumen deja de compensar la reduccion del margen unitario. Para una decision real deben incorporarse costos promocionales y restricciones de ejecucion.</x:v>
      </x:c>
    </x:row>
  </x:sheetData>
  <x:mergeCells>
    <x:mergeCell ref="A1:K2"/>
    <x:mergeCell ref="A3:K4"/>
    <x:mergeCell ref="A20:G22"/>
  </x:mergeCells>
  <x:dataValidations count="1">
    <x:dataValidation type="list" sqref="B6">
      <x:formula1>'Supuestos'!$B$7:$B$12</x:formula1>
    </x:dataValidation>
  </x:dataValidations>
  <x:pageMargins left="0.7" right="0.7" top="0.75" bottom="0.75" header="0.3" footer="0.3"/>
  <x:drawing xmlns:r="http://schemas.openxmlformats.org/officeDocument/2006/relationships" r:id="Rdf765098b6ff4299"/>
  <x:legacyDrawing xmlns:r="http://schemas.openxmlformats.org/officeDocument/2006/relationships" r:id="R68bb60d065434865"/>
</x:worksheet>
</file>